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pivotCache/pivotCacheRecords1.xml" ContentType="application/vnd.openxmlformats-officedocument.spreadsheetml.pivotCacheRecords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3.xml" ContentType="application/vnd.openxmlformats-officedocument.spreadsheetml.worksheet+xml"/>
  <Override PartName="/xl/pivotTables/pivotTable2.xml" ContentType="application/vnd.openxmlformats-officedocument.spreadsheetml.pivotTable+xml"/>
  <Override PartName="/xl/worksheets/sheet4.xml" ContentType="application/vnd.openxmlformats-officedocument.spreadsheetml.worksheet+xml"/>
  <Override PartName="/xl/pivotTables/pivotTable3.xml" ContentType="application/vnd.openxmlformats-officedocument.spreadsheetml.pivotTable+xml"/>
  <Override PartName="/xl/worksheets/sheet5.xml" ContentType="application/vnd.openxmlformats-officedocument.spreadsheetml.worksheet+xml"/>
  <Override PartName="/xl/pivotTables/pivotTable4.xml" ContentType="application/vnd.openxmlformats-officedocument.spreadsheetml.pivotTable+xml"/>
  <Override PartName="/xl/worksheets/sheet6.xml" ContentType="application/vnd.openxmlformats-officedocument.spreadsheetml.worksheet+xml"/>
  <Override PartName="/xl/pivotTables/pivotTable5.xml" ContentType="application/vnd.openxmlformats-officedocument.spreadsheetml.pivotTable+xml"/>
  <Override PartName="/xl/worksheets/sheet7.xml" ContentType="application/vnd.openxmlformats-officedocument.spreadsheetml.worksheet+xml"/>
  <Override PartName="/xl/pivotTables/pivotTable6.xml" ContentType="application/vnd.openxmlformats-officedocument.spreadsheetml.pivotTable+xml"/>
  <Override PartName="/xl/worksheets/sheet8.xml" ContentType="application/vnd.openxmlformats-officedocument.spreadsheetml.worksheet+xml"/>
  <Override PartName="/xl/pivotTables/pivotTable7.xml" ContentType="application/vnd.openxmlformats-officedocument.spreadsheetml.pivotTable+xml"/>
  <Override PartName="/xl/worksheets/sheet9.xml" ContentType="application/vnd.openxmlformats-officedocument.spreadsheetml.worksheet+xml"/>
  <Override PartName="/xl/pivotTables/pivotTable8.xml" ContentType="application/vnd.openxmlformats-officedocument.spreadsheetml.pivotTable+xml"/>
  <Override PartName="/xl/worksheets/sheet10.xml" ContentType="application/vnd.openxmlformats-officedocument.spreadsheetml.worksheet+xml"/>
  <Override PartName="/xl/pivotTables/pivotTable9.xml" ContentType="application/vnd.openxmlformats-officedocument.spreadsheetml.pivotTable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ables/table1.xml" ContentType="application/vnd.openxmlformats-officedocument.spreadsheetml.table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" sheetId="1" state="visible" r:id="rId1"/>
    <sheet xmlns:r="http://schemas.openxmlformats.org/officeDocument/2006/relationships" name="PT_Units_Outlet" sheetId="2" state="visible" r:id="rId2"/>
    <sheet xmlns:r="http://schemas.openxmlformats.org/officeDocument/2006/relationships" name="PT_Units_Product" sheetId="3" state="visible" r:id="rId3"/>
    <sheet xmlns:r="http://schemas.openxmlformats.org/officeDocument/2006/relationships" name="PT_Wastage_Outlet" sheetId="4" state="visible" r:id="rId4"/>
    <sheet xmlns:r="http://schemas.openxmlformats.org/officeDocument/2006/relationships" name="PT_Wastage_Product" sheetId="5" state="visible" r:id="rId5"/>
    <sheet xmlns:r="http://schemas.openxmlformats.org/officeDocument/2006/relationships" name="PT_Closing_Outlet" sheetId="6" state="visible" r:id="rId6"/>
    <sheet xmlns:r="http://schemas.openxmlformats.org/officeDocument/2006/relationships" name="PT_Reorder_Product" sheetId="7" state="visible" r:id="rId7"/>
    <sheet xmlns:r="http://schemas.openxmlformats.org/officeDocument/2006/relationships" name="PT_Util_Outlet" sheetId="8" state="visible" r:id="rId8"/>
    <sheet xmlns:r="http://schemas.openxmlformats.org/officeDocument/2006/relationships" name="PT_LeadTime" sheetId="9" state="visible" r:id="rId9"/>
    <sheet xmlns:r="http://schemas.openxmlformats.org/officeDocument/2006/relationships" name="PT_Movement" sheetId="10" state="visible" r:id="rId10"/>
    <sheet xmlns:r="http://schemas.openxmlformats.org/officeDocument/2006/relationships" name="Pivot_Tables" sheetId="11" state="visible" r:id="rId11"/>
    <sheet xmlns:r="http://schemas.openxmlformats.org/officeDocument/2006/relationships" name="Inventory_Clean" sheetId="12" state="visible" r:id="rId12"/>
    <sheet xmlns:r="http://schemas.openxmlformats.org/officeDocument/2006/relationships" name="Data_Cleaning" sheetId="13" state="visible" r:id="rId13"/>
    <sheet xmlns:r="http://schemas.openxmlformats.org/officeDocument/2006/relationships" name="Lookup" sheetId="14" state="visible" r:id="rId14"/>
    <sheet xmlns:r="http://schemas.openxmlformats.org/officeDocument/2006/relationships" name="Inventory" sheetId="15" state="visible" r:id="rId15"/>
  </sheets>
  <definedNames/>
  <calcPr calcId="124519" fullCalcOnLoad="1"/>
  <pivotCaches>
    <pivotCache xmlns:r="http://schemas.openxmlformats.org/officeDocument/2006/relationships" cacheId="1" r:id="rId16"/>
  </pivotCaches>
</workbook>
</file>

<file path=xl/styles.xml><?xml version="1.0" encoding="utf-8"?>
<styleSheet xmlns="http://schemas.openxmlformats.org/spreadsheetml/2006/main">
  <numFmts count="3">
    <numFmt numFmtId="164" formatCode="#,##0;[Red]-#,##0"/>
    <numFmt numFmtId="165" formatCode="0.0%"/>
    <numFmt numFmtId="166" formatCode="0.000000"/>
  </numFmts>
  <fonts count="22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i val="1"/>
      <color rgb="007A6B60"/>
      <sz val="9"/>
    </font>
    <font>
      <name val="Arial"/>
      <sz val="9"/>
    </font>
    <font>
      <name val="Arial"/>
      <b val="1"/>
      <color rgb="00FFFFFF"/>
      <sz val="18"/>
    </font>
    <font>
      <name val="Arial"/>
      <sz val="10"/>
    </font>
    <font>
      <name val="Arial"/>
      <b val="1"/>
      <sz val="10"/>
    </font>
    <font>
      <name val="Arial"/>
      <b val="1"/>
      <color rgb="006F4E37"/>
      <sz val="11"/>
    </font>
    <font>
      <name val="Arial"/>
      <color rgb="00C9BFB5"/>
      <sz val="8"/>
    </font>
    <font>
      <name val="Arial"/>
      <b val="1"/>
      <color rgb="00FFFFFF"/>
      <sz val="9"/>
    </font>
    <font>
      <name val="Arial"/>
      <b val="1"/>
      <color rgb="006F4E37"/>
      <sz val="22"/>
    </font>
    <font>
      <name val="Arial"/>
      <i val="1"/>
      <color rgb="005A4A40"/>
      <sz val="8"/>
    </font>
    <font>
      <name val="Arial"/>
      <b val="1"/>
      <color rgb="00C0392B"/>
      <sz val="22"/>
    </font>
    <font>
      <name val="Arial"/>
      <b val="1"/>
      <color rgb="003F8F7B"/>
      <sz val="22"/>
    </font>
    <font>
      <name val="Arial"/>
      <b val="1"/>
      <color rgb="00C8963E"/>
      <sz val="22"/>
    </font>
    <font>
      <name val="Arial"/>
      <b val="1"/>
      <color rgb="00B5533C"/>
      <sz val="22"/>
    </font>
    <font>
      <name val="Arial"/>
      <b val="1"/>
      <color rgb="00FFFFFF"/>
      <sz val="12"/>
    </font>
    <font>
      <name val="Arial"/>
      <b val="1"/>
      <color rgb="006F4E37"/>
      <sz val="10"/>
    </font>
    <font>
      <name val="Arial"/>
      <i val="1"/>
      <color rgb="007A6B60"/>
      <sz val="8"/>
    </font>
    <font>
      <name val="Arial"/>
      <b val="1"/>
      <color rgb="006F4E37"/>
      <sz val="12"/>
    </font>
    <font>
      <name val="Calibri"/>
      <b val="1"/>
      <sz val="11"/>
    </font>
    <font>
      <name val="Calibri"/>
      <sz val="11"/>
    </font>
  </fonts>
  <fills count="15">
    <fill>
      <patternFill/>
    </fill>
    <fill>
      <patternFill patternType="gray125"/>
    </fill>
    <fill>
      <patternFill patternType="solid">
        <fgColor rgb="007A6B60"/>
      </patternFill>
    </fill>
    <fill>
      <patternFill patternType="solid">
        <fgColor rgb="006F4E37"/>
      </patternFill>
    </fill>
    <fill>
      <patternFill patternType="solid">
        <fgColor rgb="003F8F7B"/>
      </patternFill>
    </fill>
    <fill>
      <patternFill patternType="solid">
        <fgColor rgb="00C8963E"/>
      </patternFill>
    </fill>
    <fill>
      <patternFill patternType="solid">
        <fgColor rgb="00F3ECE6"/>
      </patternFill>
    </fill>
    <fill>
      <patternFill patternType="solid">
        <fgColor rgb="00C0392B"/>
      </patternFill>
    </fill>
    <fill>
      <patternFill patternType="solid">
        <fgColor rgb="00F9E3E0"/>
      </patternFill>
    </fill>
    <fill>
      <patternFill patternType="solid">
        <fgColor rgb="00E6F3EF"/>
      </patternFill>
    </fill>
    <fill>
      <patternFill patternType="solid">
        <fgColor rgb="00FBF3E1"/>
      </patternFill>
    </fill>
    <fill>
      <patternFill patternType="solid">
        <fgColor rgb="00B5533C"/>
      </patternFill>
    </fill>
    <fill>
      <patternFill patternType="solid">
        <fgColor rgb="00F9E9E5"/>
      </patternFill>
    </fill>
    <fill>
      <patternFill patternType="solid">
        <fgColor rgb="00FBF8F3"/>
      </patternFill>
    </fill>
    <fill>
      <patternFill patternType="solid">
        <fgColor rgb="00FFFFFF"/>
      </patternFill>
    </fill>
  </fills>
  <borders count="21">
    <border>
      <left/>
      <right/>
      <top/>
      <bottom/>
      <diagonal/>
    </border>
    <border>
      <left style="thin">
        <color rgb="00E7DFD5"/>
      </left>
      <right style="thin">
        <color rgb="00E7DFD5"/>
      </right>
      <top style="thin">
        <color rgb="00E7DFD5"/>
      </top>
      <bottom style="thin">
        <color rgb="00E7DFD5"/>
      </bottom>
    </border>
    <border>
      <left style="thick">
        <color rgb="00FFFFFF"/>
      </left>
    </border>
    <border/>
    <border>
      <right style="thick">
        <color rgb="00FFFFFF"/>
      </right>
    </border>
    <border>
      <left style="thick">
        <color rgb="00FFFFFF"/>
      </left>
      <bottom style="medium">
        <color rgb="006F4E37"/>
      </bottom>
    </border>
    <border>
      <bottom style="medium">
        <color rgb="006F4E37"/>
      </bottom>
    </border>
    <border>
      <right style="thick">
        <color rgb="00FFFFFF"/>
      </right>
      <bottom style="medium">
        <color rgb="006F4E37"/>
      </bottom>
    </border>
    <border>
      <left style="thick">
        <color rgb="00FFFFFF"/>
      </left>
      <bottom style="medium">
        <color rgb="00C0392B"/>
      </bottom>
    </border>
    <border>
      <bottom style="medium">
        <color rgb="00C0392B"/>
      </bottom>
    </border>
    <border>
      <right style="thick">
        <color rgb="00FFFFFF"/>
      </right>
      <bottom style="medium">
        <color rgb="00C0392B"/>
      </bottom>
    </border>
    <border>
      <left style="thick">
        <color rgb="00FFFFFF"/>
      </left>
      <bottom style="medium">
        <color rgb="003F8F7B"/>
      </bottom>
    </border>
    <border>
      <bottom style="medium">
        <color rgb="003F8F7B"/>
      </bottom>
    </border>
    <border>
      <right style="thick">
        <color rgb="00FFFFFF"/>
      </right>
      <bottom style="medium">
        <color rgb="003F8F7B"/>
      </bottom>
    </border>
    <border>
      <left style="thick">
        <color rgb="00FFFFFF"/>
      </left>
      <bottom style="medium">
        <color rgb="00C8963E"/>
      </bottom>
    </border>
    <border>
      <bottom style="medium">
        <color rgb="00C8963E"/>
      </bottom>
    </border>
    <border>
      <right style="thick">
        <color rgb="00FFFFFF"/>
      </right>
      <bottom style="medium">
        <color rgb="00C8963E"/>
      </bottom>
    </border>
    <border>
      <left style="thick">
        <color rgb="00FFFFFF"/>
      </left>
      <bottom style="medium">
        <color rgb="00B5533C"/>
      </bottom>
    </border>
    <border>
      <bottom style="medium">
        <color rgb="00B5533C"/>
      </bottom>
    </border>
    <border>
      <right style="thick">
        <color rgb="00FFFFFF"/>
      </right>
      <bottom style="medium">
        <color rgb="00B5533C"/>
      </bottom>
    </border>
    <border>
      <bottom style="thin">
        <color rgb="00E7DFD5"/>
      </bottom>
    </border>
  </borders>
  <cellStyleXfs count="1">
    <xf numFmtId="0" fontId="0" fillId="0" borderId="0"/>
  </cellStyleXfs>
  <cellXfs count="109">
    <xf numFmtId="0" fontId="0" fillId="0" borderId="0" pivotButton="0" quotePrefix="0" xfId="0"/>
    <xf numFmtId="0" fontId="4" fillId="3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9" fillId="3" borderId="2" applyAlignment="1" pivotButton="0" quotePrefix="0" xfId="0">
      <alignment horizontal="center" vertical="center"/>
    </xf>
    <xf numFmtId="0" fontId="0" fillId="3" borderId="3" pivotButton="0" quotePrefix="0" xfId="0"/>
    <xf numFmtId="0" fontId="0" fillId="3" borderId="4" pivotButton="0" quotePrefix="0" xfId="0"/>
    <xf numFmtId="0" fontId="9" fillId="7" borderId="2" applyAlignment="1" pivotButton="0" quotePrefix="0" xfId="0">
      <alignment horizontal="center" vertical="center"/>
    </xf>
    <xf numFmtId="0" fontId="0" fillId="7" borderId="3" pivotButton="0" quotePrefix="0" xfId="0"/>
    <xf numFmtId="0" fontId="0" fillId="7" borderId="4" pivotButton="0" quotePrefix="0" xfId="0"/>
    <xf numFmtId="0" fontId="9" fillId="4" borderId="2" applyAlignment="1" pivotButton="0" quotePrefix="0" xfId="0">
      <alignment horizontal="center" vertical="center"/>
    </xf>
    <xf numFmtId="0" fontId="0" fillId="4" borderId="3" pivotButton="0" quotePrefix="0" xfId="0"/>
    <xf numFmtId="0" fontId="0" fillId="4" borderId="4" pivotButton="0" quotePrefix="0" xfId="0"/>
    <xf numFmtId="0" fontId="9" fillId="5" borderId="2" applyAlignment="1" pivotButton="0" quotePrefix="0" xfId="0">
      <alignment horizontal="center" vertical="center"/>
    </xf>
    <xf numFmtId="0" fontId="0" fillId="5" borderId="3" pivotButton="0" quotePrefix="0" xfId="0"/>
    <xf numFmtId="0" fontId="0" fillId="5" borderId="4" pivotButton="0" quotePrefix="0" xfId="0"/>
    <xf numFmtId="0" fontId="9" fillId="11" borderId="2" applyAlignment="1" pivotButton="0" quotePrefix="0" xfId="0">
      <alignment horizontal="center" vertical="center"/>
    </xf>
    <xf numFmtId="0" fontId="0" fillId="11" borderId="3" pivotButton="0" quotePrefix="0" xfId="0"/>
    <xf numFmtId="0" fontId="0" fillId="11" borderId="4" pivotButton="0" quotePrefix="0" xfId="0"/>
    <xf numFmtId="3" fontId="10" fillId="6" borderId="2" applyAlignment="1" pivotButton="0" quotePrefix="0" xfId="0">
      <alignment horizontal="center" vertical="center"/>
    </xf>
    <xf numFmtId="0" fontId="0" fillId="6" borderId="3" pivotButton="0" quotePrefix="0" xfId="0"/>
    <xf numFmtId="0" fontId="0" fillId="6" borderId="4" pivotButton="0" quotePrefix="0" xfId="0"/>
    <xf numFmtId="3" fontId="12" fillId="8" borderId="2" applyAlignment="1" pivotButton="0" quotePrefix="0" xfId="0">
      <alignment horizontal="center" vertical="center"/>
    </xf>
    <xf numFmtId="0" fontId="0" fillId="8" borderId="3" pivotButton="0" quotePrefix="0" xfId="0"/>
    <xf numFmtId="0" fontId="0" fillId="8" borderId="4" pivotButton="0" quotePrefix="0" xfId="0"/>
    <xf numFmtId="3" fontId="13" fillId="9" borderId="2" applyAlignment="1" pivotButton="0" quotePrefix="0" xfId="0">
      <alignment horizontal="center" vertical="center"/>
    </xf>
    <xf numFmtId="0" fontId="0" fillId="9" borderId="3" pivotButton="0" quotePrefix="0" xfId="0"/>
    <xf numFmtId="0" fontId="0" fillId="9" borderId="4" pivotButton="0" quotePrefix="0" xfId="0"/>
    <xf numFmtId="165" fontId="14" fillId="10" borderId="2" applyAlignment="1" pivotButton="0" quotePrefix="0" xfId="0">
      <alignment horizontal="center" vertical="center"/>
    </xf>
    <xf numFmtId="0" fontId="0" fillId="10" borderId="3" pivotButton="0" quotePrefix="0" xfId="0"/>
    <xf numFmtId="0" fontId="0" fillId="10" borderId="4" pivotButton="0" quotePrefix="0" xfId="0"/>
    <xf numFmtId="3" fontId="15" fillId="12" borderId="2" applyAlignment="1" pivotButton="0" quotePrefix="0" xfId="0">
      <alignment horizontal="center" vertical="center"/>
    </xf>
    <xf numFmtId="0" fontId="0" fillId="12" borderId="3" pivotButton="0" quotePrefix="0" xfId="0"/>
    <xf numFmtId="0" fontId="0" fillId="12" borderId="4" pivotButton="0" quotePrefix="0" xfId="0"/>
    <xf numFmtId="0" fontId="0" fillId="6" borderId="2" pivotButton="0" quotePrefix="0" xfId="0"/>
    <xf numFmtId="0" fontId="0" fillId="8" borderId="2" pivotButton="0" quotePrefix="0" xfId="0"/>
    <xf numFmtId="0" fontId="0" fillId="9" borderId="2" pivotButton="0" quotePrefix="0" xfId="0"/>
    <xf numFmtId="0" fontId="0" fillId="10" borderId="2" pivotButton="0" quotePrefix="0" xfId="0"/>
    <xf numFmtId="0" fontId="0" fillId="12" borderId="2" pivotButton="0" quotePrefix="0" xfId="0"/>
    <xf numFmtId="0" fontId="11" fillId="6" borderId="5" applyAlignment="1" pivotButton="0" quotePrefix="0" xfId="0">
      <alignment horizontal="center" vertical="center" wrapText="1"/>
    </xf>
    <xf numFmtId="0" fontId="0" fillId="6" borderId="6" pivotButton="0" quotePrefix="0" xfId="0"/>
    <xf numFmtId="0" fontId="0" fillId="6" borderId="7" pivotButton="0" quotePrefix="0" xfId="0"/>
    <xf numFmtId="0" fontId="11" fillId="8" borderId="8" applyAlignment="1" pivotButton="0" quotePrefix="0" xfId="0">
      <alignment horizontal="center" vertical="center" wrapText="1"/>
    </xf>
    <xf numFmtId="0" fontId="0" fillId="8" borderId="9" pivotButton="0" quotePrefix="0" xfId="0"/>
    <xf numFmtId="0" fontId="0" fillId="8" borderId="10" pivotButton="0" quotePrefix="0" xfId="0"/>
    <xf numFmtId="0" fontId="11" fillId="9" borderId="11" applyAlignment="1" pivotButton="0" quotePrefix="0" xfId="0">
      <alignment horizontal="center" vertical="center" wrapText="1"/>
    </xf>
    <xf numFmtId="0" fontId="0" fillId="9" borderId="12" pivotButton="0" quotePrefix="0" xfId="0"/>
    <xf numFmtId="0" fontId="0" fillId="9" borderId="13" pivotButton="0" quotePrefix="0" xfId="0"/>
    <xf numFmtId="0" fontId="11" fillId="10" borderId="14" applyAlignment="1" pivotButton="0" quotePrefix="0" xfId="0">
      <alignment horizontal="center" vertical="center" wrapText="1"/>
    </xf>
    <xf numFmtId="0" fontId="0" fillId="10" borderId="15" pivotButton="0" quotePrefix="0" xfId="0"/>
    <xf numFmtId="0" fontId="0" fillId="10" borderId="16" pivotButton="0" quotePrefix="0" xfId="0"/>
    <xf numFmtId="0" fontId="11" fillId="12" borderId="17" applyAlignment="1" pivotButton="0" quotePrefix="0" xfId="0">
      <alignment horizontal="center" vertical="center" wrapText="1"/>
    </xf>
    <xf numFmtId="0" fontId="0" fillId="12" borderId="18" pivotButton="0" quotePrefix="0" xfId="0"/>
    <xf numFmtId="0" fontId="0" fillId="12" borderId="19" pivotButton="0" quotePrefix="0" xfId="0"/>
    <xf numFmtId="0" fontId="16" fillId="3" borderId="0" pivotButton="0" quotePrefix="0" xfId="0"/>
    <xf numFmtId="0" fontId="17" fillId="13" borderId="20" applyAlignment="1" pivotButton="0" quotePrefix="0" xfId="0">
      <alignment vertical="center" wrapText="1" indent="1"/>
    </xf>
    <xf numFmtId="0" fontId="0" fillId="13" borderId="20" pivotButton="0" quotePrefix="0" xfId="0"/>
    <xf numFmtId="0" fontId="5" fillId="13" borderId="20" applyAlignment="1" pivotButton="0" quotePrefix="0" xfId="0">
      <alignment vertical="center" wrapText="1"/>
    </xf>
    <xf numFmtId="0" fontId="17" fillId="14" borderId="20" applyAlignment="1" pivotButton="0" quotePrefix="0" xfId="0">
      <alignment vertical="center" wrapText="1" indent="1"/>
    </xf>
    <xf numFmtId="0" fontId="0" fillId="14" borderId="20" pivotButton="0" quotePrefix="0" xfId="0"/>
    <xf numFmtId="0" fontId="5" fillId="14" borderId="20" applyAlignment="1" pivotButton="0" quotePrefix="0" xfId="0">
      <alignment vertical="center" wrapText="1"/>
    </xf>
    <xf numFmtId="0" fontId="18" fillId="0" borderId="0" pivotButton="0" quotePrefix="0" xfId="0"/>
    <xf numFmtId="0" fontId="19" fillId="0" borderId="0" pivotButton="0" quotePrefix="0" xfId="0"/>
    <xf numFmtId="0" fontId="20" fillId="0" borderId="0" pivotButton="0" quotePrefix="0" xfId="0"/>
    <xf numFmtId="0" fontId="21" fillId="0" borderId="0" pivotButton="0" quotePrefix="0" xfId="0"/>
    <xf numFmtId="3" fontId="21" fillId="0" borderId="0" pivotButton="0" quotePrefix="0" xfId="0"/>
    <xf numFmtId="3" fontId="20" fillId="0" borderId="0" pivotButton="0" quotePrefix="0" xfId="0"/>
    <xf numFmtId="0" fontId="21" fillId="0" borderId="0" applyAlignment="1" pivotButton="0" quotePrefix="0" xfId="0">
      <alignment indent="1"/>
    </xf>
    <xf numFmtId="10" fontId="21" fillId="0" borderId="0" pivotButton="0" quotePrefix="0" xfId="0"/>
    <xf numFmtId="10" fontId="20" fillId="0" borderId="0" pivotButton="0" quotePrefix="0" xfId="0"/>
    <xf numFmtId="2" fontId="21" fillId="0" borderId="0" pivotButton="0" quotePrefix="0" xfId="0"/>
    <xf numFmtId="2" fontId="20" fillId="0" borderId="0" pivotButton="0" quotePrefix="0" xfId="0"/>
    <xf numFmtId="0" fontId="7" fillId="0" borderId="0" pivotButton="0" quotePrefix="0" xfId="0"/>
    <xf numFmtId="0" fontId="1" fillId="3" borderId="0" applyAlignment="1" pivotButton="0" quotePrefix="0" xfId="0">
      <alignment horizontal="left" vertical="center" wrapText="1"/>
    </xf>
    <xf numFmtId="0" fontId="1" fillId="3" borderId="0" applyAlignment="1" pivotButton="0" quotePrefix="0" xfId="0">
      <alignment horizontal="center" vertical="center" wrapText="1"/>
    </xf>
    <xf numFmtId="0" fontId="8" fillId="0" borderId="0" pivotButton="0" quotePrefix="0" xfId="0"/>
    <xf numFmtId="0" fontId="6" fillId="0" borderId="1" pivotButton="0" quotePrefix="0" xfId="0"/>
    <xf numFmtId="3" fontId="5" fillId="0" borderId="1" applyAlignment="1" pivotButton="0" quotePrefix="0" xfId="0">
      <alignment horizontal="center"/>
    </xf>
    <xf numFmtId="165" fontId="5" fillId="0" borderId="1" applyAlignment="1" pivotButton="0" quotePrefix="0" xfId="0">
      <alignment horizontal="center"/>
    </xf>
    <xf numFmtId="10" fontId="5" fillId="0" borderId="1" applyAlignment="1" pivotButton="0" quotePrefix="0" xfId="0">
      <alignment horizontal="center"/>
    </xf>
    <xf numFmtId="0" fontId="1" fillId="5" borderId="1" pivotButton="0" quotePrefix="0" xfId="0"/>
    <xf numFmtId="3" fontId="1" fillId="5" borderId="1" applyAlignment="1" pivotButton="0" quotePrefix="0" xfId="0">
      <alignment horizontal="center"/>
    </xf>
    <xf numFmtId="165" fontId="1" fillId="5" borderId="1" applyAlignment="1" pivotButton="0" quotePrefix="0" xfId="0">
      <alignment horizontal="center"/>
    </xf>
    <xf numFmtId="10" fontId="1" fillId="5" borderId="1" applyAlignment="1" pivotButton="0" quotePrefix="0" xfId="0">
      <alignment horizontal="center"/>
    </xf>
    <xf numFmtId="2" fontId="5" fillId="0" borderId="1" applyAlignment="1" pivotButton="0" quotePrefix="0" xfId="0">
      <alignment horizontal="center"/>
    </xf>
    <xf numFmtId="1" fontId="5" fillId="0" borderId="1" applyAlignment="1" pivotButton="0" quotePrefix="0" xfId="0">
      <alignment horizontal="center"/>
    </xf>
    <xf numFmtId="2" fontId="1" fillId="5" borderId="1" applyAlignment="1" pivotButton="0" quotePrefix="0" xfId="0">
      <alignment horizontal="center"/>
    </xf>
    <xf numFmtId="1" fontId="1" fillId="5" borderId="1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5" fillId="0" borderId="1" applyAlignment="1" pivotButton="0" quotePrefix="0" xfId="0">
      <alignment horizontal="center"/>
    </xf>
    <xf numFmtId="166" fontId="8" fillId="0" borderId="1" applyAlignment="1" pivotButton="0" quotePrefix="0" xfId="0">
      <alignment horizontal="center"/>
    </xf>
    <xf numFmtId="9" fontId="5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0" fontId="6" fillId="0" borderId="0" pivotButton="0" quotePrefix="0" xfId="0"/>
    <xf numFmtId="0" fontId="1" fillId="5" borderId="1" applyAlignment="1" pivotButton="0" quotePrefix="0" xfId="0">
      <alignment horizontal="center"/>
    </xf>
    <xf numFmtId="166" fontId="8" fillId="5" borderId="1" applyAlignment="1" pivotButton="0" quotePrefix="0" xfId="0">
      <alignment horizontal="center"/>
    </xf>
    <xf numFmtId="9" fontId="1" fillId="5" borderId="1" applyAlignment="1" pivotButton="0" quotePrefix="0" xfId="0">
      <alignment horizontal="center"/>
    </xf>
    <xf numFmtId="0" fontId="1" fillId="4" borderId="0" applyAlignment="1" pivotButton="0" quotePrefix="0" xfId="0">
      <alignment horizontal="center" vertical="center" wrapText="1"/>
    </xf>
    <xf numFmtId="0" fontId="3" fillId="0" borderId="0" pivotButton="0" quotePrefix="0" xfId="0"/>
    <xf numFmtId="164" fontId="3" fillId="0" borderId="0" applyAlignment="1" pivotButton="0" quotePrefix="0" xfId="0">
      <alignment horizontal="center"/>
    </xf>
    <xf numFmtId="165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3" fontId="5" fillId="0" borderId="1" applyAlignment="1" pivotButton="0" quotePrefix="0" xfId="0">
      <alignment horizontal="center" vertical="center"/>
    </xf>
    <xf numFmtId="0" fontId="1" fillId="3" borderId="0" pivotButton="0" quotePrefix="0" xfId="0"/>
    <xf numFmtId="0" fontId="1" fillId="2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4C7C0"/>
        </patternFill>
      </fill>
    </dxf>
    <dxf>
      <font>
        <name val="Arial"/>
        <b val="1"/>
        <color rgb="007A5200"/>
        <sz val="9"/>
      </font>
      <fill>
        <patternFill patternType="solid">
          <fgColor rgb="00FBE3A8"/>
        </patternFill>
      </fill>
    </dxf>
    <dxf>
      <font>
        <name val="Arial"/>
        <b val="1"/>
      </font>
      <fill>
        <patternFill patternType="solid">
          <fgColor rgb="00CDEBDD"/>
        </patternFill>
      </fill>
    </dxf>
    <dxf>
      <font>
        <name val="Arial"/>
        <b val="1"/>
      </font>
      <fill>
        <patternFill patternType="solid">
          <fgColor rgb="00FBE3A8"/>
        </patternFill>
      </fill>
    </dxf>
    <dxf>
      <font>
        <name val="Arial"/>
        <b val="1"/>
      </font>
      <fill>
        <patternFill patternType="solid">
          <fgColor rgb="00E6EEF8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pivotCacheDefinition" Target="/xl/pivotCache/pivotCacheDefinition1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Units Sold by Outlet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'Pivot_Tables'!C6</f>
            </strRef>
          </tx>
          <spPr>
            <a:solidFill xmlns:a="http://schemas.openxmlformats.org/drawingml/2006/main">
              <a:srgbClr val="6F4E37"/>
            </a:solidFill>
            <a:ln xmlns:a="http://schemas.openxmlformats.org/drawingml/2006/main">
              <a:prstDash val="solid"/>
            </a:ln>
          </spPr>
          <cat>
            <numRef>
              <f>'Pivot_Tables'!$B$7:$B$16</f>
            </numRef>
          </cat>
          <val>
            <numRef>
              <f>'Pivot_Tables'!$C$7:$C$16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 10 Products by Units Sold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'Pivot_Tables'!S41</f>
            </strRef>
          </tx>
          <spPr>
            <a:solidFill xmlns:a="http://schemas.openxmlformats.org/drawingml/2006/main">
              <a:srgbClr val="C8963E"/>
            </a:solidFill>
            <a:ln xmlns:a="http://schemas.openxmlformats.org/drawingml/2006/main">
              <a:prstDash val="solid"/>
            </a:ln>
          </spPr>
          <cat>
            <numRef>
              <f>'Pivot_Tables'!$R$42:$R$51</f>
            </numRef>
          </cat>
          <val>
            <numRef>
              <f>'Pivot_Tables'!$S$42:$S$51</f>
            </numRef>
          </val>
        </ser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Inventory Trend – stock flow by outlet</a:t>
            </a:r>
          </a:p>
        </rich>
      </tx>
    </title>
    <plotArea>
      <lineChart>
        <grouping val="standard"/>
        <ser>
          <idx val="0"/>
          <order val="0"/>
          <tx>
            <strRef>
              <f>'Pivot_Tables'!L21</f>
            </strRef>
          </tx>
          <spPr>
            <a:ln xmlns:a="http://schemas.openxmlformats.org/drawingml/2006/main" w="22000">
              <a:solidFill>
                <a:srgbClr val="3B6FB6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'Pivot_Tables'!$K$22:$K$31</f>
            </numRef>
          </cat>
          <val>
            <numRef>
              <f>'Pivot_Tables'!$L$22:$L$31</f>
            </numRef>
          </val>
          <smooth val="1"/>
        </ser>
        <ser>
          <idx val="1"/>
          <order val="1"/>
          <tx>
            <strRef>
              <f>'Pivot_Tables'!M21</f>
            </strRef>
          </tx>
          <spPr>
            <a:ln xmlns:a="http://schemas.openxmlformats.org/drawingml/2006/main" w="22000">
              <a:solidFill>
                <a:srgbClr val="3F8F7B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'Pivot_Tables'!$K$22:$K$31</f>
            </numRef>
          </cat>
          <val>
            <numRef>
              <f>'Pivot_Tables'!$M$22:$M$31</f>
            </numRef>
          </val>
          <smooth val="1"/>
        </ser>
        <ser>
          <idx val="2"/>
          <order val="2"/>
          <tx>
            <strRef>
              <f>'Pivot_Tables'!N21</f>
            </strRef>
          </tx>
          <spPr>
            <a:ln xmlns:a="http://schemas.openxmlformats.org/drawingml/2006/main" w="22000">
              <a:solidFill>
                <a:srgbClr val="6F4E37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'Pivot_Tables'!$K$22:$K$31</f>
            </numRef>
          </cat>
          <val>
            <numRef>
              <f>'Pivot_Tables'!$N$22:$N$31</f>
            </numRef>
          </val>
          <smooth val="1"/>
        </ser>
        <ser>
          <idx val="3"/>
          <order val="3"/>
          <tx>
            <strRef>
              <f>'Pivot_Tables'!P21</f>
            </strRef>
          </tx>
          <spPr>
            <a:ln xmlns:a="http://schemas.openxmlformats.org/drawingml/2006/main" w="22000">
              <a:solidFill>
                <a:srgbClr val="C8963E"/>
              </a:solidFill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'Pivot_Tables'!$K$22:$K$31</f>
            </numRef>
          </cat>
          <val>
            <numRef>
              <f>'Pivot_Tables'!$P$22:$P$31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Wastage by Outlet (units)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'Pivot_Tables'!G6</f>
            </strRef>
          </tx>
          <spPr>
            <a:solidFill xmlns:a="http://schemas.openxmlformats.org/drawingml/2006/main">
              <a:srgbClr val="C0392B"/>
            </a:solidFill>
            <a:ln xmlns:a="http://schemas.openxmlformats.org/drawingml/2006/main">
              <a:prstDash val="solid"/>
            </a:ln>
          </spPr>
          <cat>
            <numRef>
              <f>'Pivot_Tables'!$F$7:$F$16</f>
            </numRef>
          </cat>
          <val>
            <numRef>
              <f>'Pivot_Tables'!$G$7:$G$16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majorTickMark val="none"/>
        <minorTickMark val="none"/>
        <crossAx val="10"/>
      </valAx>
    </plotArea>
    <plotVisOnly val="1"/>
    <dispBlanksAs val="gap"/>
  </chart>
</chartSpace>
</file>

<file path=xl/charts/chart5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Reorder Status (outlet–product lines)</a:t>
            </a:r>
          </a:p>
        </rich>
      </tx>
    </title>
    <plotArea>
      <doughnutChart>
        <varyColors val="1"/>
        <ser>
          <idx val="0"/>
          <order val="0"/>
          <tx>
            <strRef>
              <f>'Pivot_Tables'!R56</f>
            </strRef>
          </tx>
          <spPr>
            <a:ln xmlns:a="http://schemas.openxmlformats.org/drawingml/2006/main">
              <a:prstDash val="solid"/>
            </a:ln>
          </spPr>
          <dPt>
            <idx val="0"/>
            <spPr>
              <a:solidFill xmlns:a="http://schemas.openxmlformats.org/drawingml/2006/main">
                <a:srgbClr val="E0A100"/>
              </a:solidFill>
              <a:ln xmlns:a="http://schemas.openxmlformats.org/drawingml/2006/main">
                <a:prstDash val="solid"/>
              </a:ln>
            </spPr>
          </dPt>
          <dPt>
            <idx val="1"/>
            <spPr>
              <a:solidFill xmlns:a="http://schemas.openxmlformats.org/drawingml/2006/main">
                <a:srgbClr val="3F8F7B"/>
              </a:solidFill>
              <a:ln xmlns:a="http://schemas.openxmlformats.org/drawingml/2006/main">
                <a:prstDash val="solid"/>
              </a:ln>
            </spPr>
          </dPt>
          <cat>
            <numRef>
              <f>'Pivot_Tables'!$Q$57:$Q$58</f>
            </numRef>
          </cat>
          <val>
            <numRef>
              <f>'Pivot_Tables'!$R$57:$R$58</f>
            </numRef>
          </val>
        </ser>
        <dLbls>
          <showVal val="0"/>
          <showCatName val="0"/>
          <showSerName val="0"/>
          <showPercent val="1"/>
          <showLeaderLines val="0"/>
        </dLbls>
        <firstSliceAng val="0"/>
        <holeSize val="55"/>
      </doughnutChart>
    </plotArea>
    <legend>
      <legendPos val="r"/>
    </legend>
    <plotVisOnly val="1"/>
    <dispBlanksAs val="gap"/>
  </chart>
</chartSpace>
</file>

<file path=xl/charts/chart6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Stock Utilization by Outlet (avg %)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'Pivot_Tables'!P6</f>
            </strRef>
          </tx>
          <spPr>
            <a:solidFill xmlns:a="http://schemas.openxmlformats.org/drawingml/2006/main">
              <a:srgbClr val="3F8F7B"/>
            </a:solidFill>
            <a:ln xmlns:a="http://schemas.openxmlformats.org/drawingml/2006/main">
              <a:prstDash val="solid"/>
            </a:ln>
          </spPr>
          <cat>
            <numRef>
              <f>'Pivot_Tables'!$O$7:$O$16</f>
            </numRef>
          </cat>
          <val>
            <numRef>
              <f>'Pivot_Tables'!$P$7:$P$16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  <min val="0"/>
        </scaling>
        <delete val="0"/>
        <axPos val="l"/>
        <majorGridlines/>
        <numFmt formatCode="0%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Relationship Type="http://schemas.openxmlformats.org/officeDocument/2006/relationships/chart" Target="/xl/charts/chart3.xml" Id="rId3"/><Relationship Type="http://schemas.openxmlformats.org/officeDocument/2006/relationships/chart" Target="/xl/charts/chart4.xml" Id="rId4"/><Relationship Type="http://schemas.openxmlformats.org/officeDocument/2006/relationships/chart" Target="/xl/charts/chart5.xml" Id="rId5"/><Relationship Type="http://schemas.openxmlformats.org/officeDocument/2006/relationships/chart" Target="/xl/charts/chart6.xml" Id="rId6"/></Relationships>
</file>

<file path=xl/drawings/drawing1.xml><?xml version="1.0" encoding="utf-8"?>
<wsDr xmlns="http://schemas.openxmlformats.org/drawingml/2006/spreadsheetDrawing">
  <oneCellAnchor>
    <from>
      <col>1</col>
      <colOff>0</colOff>
      <row>8</row>
      <rowOff>0</rowOff>
    </from>
    <ext cx="6263999" cy="2664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9</col>
      <colOff>0</colOff>
      <row>8</row>
      <rowOff>0</rowOff>
    </from>
    <ext cx="6263999" cy="2664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  <oneCellAnchor>
    <from>
      <col>1</col>
      <colOff>0</colOff>
      <row>24</row>
      <rowOff>0</rowOff>
    </from>
    <ext cx="6263999" cy="2664000"/>
    <graphicFrame>
      <nvGraphicFramePr>
        <cNvPr id="3" name="Chart 3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graphicFrame>
    <clientData/>
  </oneCellAnchor>
  <oneCellAnchor>
    <from>
      <col>9</col>
      <colOff>0</colOff>
      <row>24</row>
      <rowOff>0</rowOff>
    </from>
    <ext cx="6263999" cy="2664000"/>
    <graphicFrame>
      <nvGraphicFramePr>
        <cNvPr id="4" name="Chart 4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graphicFrame>
    <clientData/>
  </oneCellAnchor>
  <oneCellAnchor>
    <from>
      <col>1</col>
      <colOff>0</colOff>
      <row>40</row>
      <rowOff>0</rowOff>
    </from>
    <ext cx="6263999" cy="2664000"/>
    <graphicFrame>
      <nvGraphicFramePr>
        <cNvPr id="5" name="Chart 5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graphicFrame>
    <clientData/>
  </oneCellAnchor>
  <oneCellAnchor>
    <from>
      <col>9</col>
      <colOff>0</colOff>
      <row>40</row>
      <rowOff>0</rowOff>
    </from>
    <ext cx="6263999" cy="2664000"/>
    <graphicFrame>
      <nvGraphicFramePr>
        <cNvPr id="6" name="Chart 6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graphicFrame>
    <clientData/>
  </oneCellAnchor>
</wsDr>
</file>

<file path=xl/pivotCache/_rels/pivotCacheDefinition1.xml.rels><Relationships xmlns="http://schemas.openxmlformats.org/package/2006/relationships"><Relationship Type="http://schemas.openxmlformats.org/officeDocument/2006/relationships/pivotCacheRecords" Target="/xl/pivotCache/pivotCacheRecords1.xml" Id="rId1"/></Relationships>
</file>

<file path=xl/pivotCache/pivotCacheDefinition1.xml><?xml version="1.0" encoding="utf-8"?>
<pivotCacheDefinition xmlns:r="http://schemas.openxmlformats.org/officeDocument/2006/relationships" xmlns="http://schemas.openxmlformats.org/spreadsheetml/2006/main" createdVersion="6" refreshedVersion="6" minRefreshableVersion="3" recordCount="500" r:id="rId1">
  <cacheSource type="worksheet">
    <worksheetSource ref="A1:V501" sheet="Inventory_Clean"/>
  </cacheSource>
  <cacheFields count="22">
    <cacheField name="Inventory_ID" uniqueList="1" numFmtId="0" sqlType="0" hierarchy="0" level="0" databaseField="1">
      <sharedItems count="500">
        <s v="INV00001"/>
        <s v="INV00002"/>
        <s v="INV00003"/>
        <s v="INV00004"/>
        <s v="INV00005"/>
        <s v="INV00006"/>
        <s v="INV00007"/>
        <s v="INV00008"/>
        <s v="INV00009"/>
        <s v="INV00010"/>
        <s v="INV00011"/>
        <s v="INV00012"/>
        <s v="INV00013"/>
        <s v="INV00014"/>
        <s v="INV00015"/>
        <s v="INV00016"/>
        <s v="INV00017"/>
        <s v="INV00018"/>
        <s v="INV00019"/>
        <s v="INV00020"/>
        <s v="INV00021"/>
        <s v="INV00022"/>
        <s v="INV00023"/>
        <s v="INV00024"/>
        <s v="INV00025"/>
        <s v="INV00026"/>
        <s v="INV00027"/>
        <s v="INV00028"/>
        <s v="INV00029"/>
        <s v="INV00030"/>
        <s v="INV00031"/>
        <s v="INV00032"/>
        <s v="INV00033"/>
        <s v="INV00034"/>
        <s v="INV00035"/>
        <s v="INV00036"/>
        <s v="INV00037"/>
        <s v="INV00038"/>
        <s v="INV00039"/>
        <s v="INV00040"/>
        <s v="INV00041"/>
        <s v="INV00042"/>
        <s v="INV00043"/>
        <s v="INV00044"/>
        <s v="INV00045"/>
        <s v="INV00046"/>
        <s v="INV00047"/>
        <s v="INV00048"/>
        <s v="INV00049"/>
        <s v="INV00050"/>
        <s v="INV00051"/>
        <s v="INV00052"/>
        <s v="INV00053"/>
        <s v="INV00054"/>
        <s v="INV00055"/>
        <s v="INV00056"/>
        <s v="INV00057"/>
        <s v="INV00058"/>
        <s v="INV00059"/>
        <s v="INV00060"/>
        <s v="INV00061"/>
        <s v="INV00062"/>
        <s v="INV00063"/>
        <s v="INV00064"/>
        <s v="INV00065"/>
        <s v="INV00066"/>
        <s v="INV00067"/>
        <s v="INV00068"/>
        <s v="INV00069"/>
        <s v="INV00070"/>
        <s v="INV00071"/>
        <s v="INV00072"/>
        <s v="INV00073"/>
        <s v="INV00074"/>
        <s v="INV00075"/>
        <s v="INV00076"/>
        <s v="INV00077"/>
        <s v="INV00078"/>
        <s v="INV00079"/>
        <s v="INV00080"/>
        <s v="INV00081"/>
        <s v="INV00082"/>
        <s v="INV00083"/>
        <s v="INV00084"/>
        <s v="INV00085"/>
        <s v="INV00086"/>
        <s v="INV00087"/>
        <s v="INV00088"/>
        <s v="INV00089"/>
        <s v="INV00090"/>
        <s v="INV00091"/>
        <s v="INV00092"/>
        <s v="INV00093"/>
        <s v="INV00094"/>
        <s v="INV00095"/>
        <s v="INV00096"/>
        <s v="INV00097"/>
        <s v="INV00098"/>
        <s v="INV00099"/>
        <s v="INV00100"/>
        <s v="INV00101"/>
        <s v="INV00102"/>
        <s v="INV00103"/>
        <s v="INV00104"/>
        <s v="INV00105"/>
        <s v="INV00106"/>
        <s v="INV00107"/>
        <s v="INV00108"/>
        <s v="INV00109"/>
        <s v="INV00110"/>
        <s v="INV00111"/>
        <s v="INV00112"/>
        <s v="INV00113"/>
        <s v="INV00114"/>
        <s v="INV00115"/>
        <s v="INV00116"/>
        <s v="INV00117"/>
        <s v="INV00118"/>
        <s v="INV00119"/>
        <s v="INV00120"/>
        <s v="INV00121"/>
        <s v="INV00122"/>
        <s v="INV00123"/>
        <s v="INV00124"/>
        <s v="INV00125"/>
        <s v="INV00126"/>
        <s v="INV00127"/>
        <s v="INV00128"/>
        <s v="INV00129"/>
        <s v="INV00130"/>
        <s v="INV00131"/>
        <s v="INV00132"/>
        <s v="INV00133"/>
        <s v="INV00134"/>
        <s v="INV00135"/>
        <s v="INV00136"/>
        <s v="INV00137"/>
        <s v="INV00138"/>
        <s v="INV00139"/>
        <s v="INV00140"/>
        <s v="INV00141"/>
        <s v="INV00142"/>
        <s v="INV00143"/>
        <s v="INV00144"/>
        <s v="INV00145"/>
        <s v="INV00146"/>
        <s v="INV00147"/>
        <s v="INV00148"/>
        <s v="INV00149"/>
        <s v="INV00150"/>
        <s v="INV00151"/>
        <s v="INV00152"/>
        <s v="INV00153"/>
        <s v="INV00154"/>
        <s v="INV00155"/>
        <s v="INV00156"/>
        <s v="INV00157"/>
        <s v="INV00158"/>
        <s v="INV00159"/>
        <s v="INV00160"/>
        <s v="INV00161"/>
        <s v="INV00162"/>
        <s v="INV00163"/>
        <s v="INV00164"/>
        <s v="INV00165"/>
        <s v="INV00166"/>
        <s v="INV00167"/>
        <s v="INV00168"/>
        <s v="INV00169"/>
        <s v="INV00170"/>
        <s v="INV00171"/>
        <s v="INV00172"/>
        <s v="INV00173"/>
        <s v="INV00174"/>
        <s v="INV00175"/>
        <s v="INV00176"/>
        <s v="INV00177"/>
        <s v="INV00178"/>
        <s v="INV00179"/>
        <s v="INV00180"/>
        <s v="INV00181"/>
        <s v="INV00182"/>
        <s v="INV00183"/>
        <s v="INV00184"/>
        <s v="INV00185"/>
        <s v="INV00186"/>
        <s v="INV00187"/>
        <s v="INV00188"/>
        <s v="INV00189"/>
        <s v="INV00190"/>
        <s v="INV00191"/>
        <s v="INV00192"/>
        <s v="INV00193"/>
        <s v="INV00194"/>
        <s v="INV00195"/>
        <s v="INV00196"/>
        <s v="INV00197"/>
        <s v="INV00198"/>
        <s v="INV00199"/>
        <s v="INV00200"/>
        <s v="INV00201"/>
        <s v="INV00202"/>
        <s v="INV00203"/>
        <s v="INV00204"/>
        <s v="INV00205"/>
        <s v="INV00206"/>
        <s v="INV00207"/>
        <s v="INV00208"/>
        <s v="INV00209"/>
        <s v="INV00210"/>
        <s v="INV00211"/>
        <s v="INV00212"/>
        <s v="INV00213"/>
        <s v="INV00214"/>
        <s v="INV00215"/>
        <s v="INV00216"/>
        <s v="INV00217"/>
        <s v="INV00218"/>
        <s v="INV00219"/>
        <s v="INV00220"/>
        <s v="INV00221"/>
        <s v="INV00222"/>
        <s v="INV00223"/>
        <s v="INV00224"/>
        <s v="INV00225"/>
        <s v="INV00226"/>
        <s v="INV00227"/>
        <s v="INV00228"/>
        <s v="INV00229"/>
        <s v="INV00230"/>
        <s v="INV00231"/>
        <s v="INV00232"/>
        <s v="INV00233"/>
        <s v="INV00234"/>
        <s v="INV00235"/>
        <s v="INV00236"/>
        <s v="INV00237"/>
        <s v="INV00238"/>
        <s v="INV00239"/>
        <s v="INV00240"/>
        <s v="INV00241"/>
        <s v="INV00242"/>
        <s v="INV00243"/>
        <s v="INV00244"/>
        <s v="INV00245"/>
        <s v="INV00246"/>
        <s v="INV00247"/>
        <s v="INV00248"/>
        <s v="INV00249"/>
        <s v="INV00250"/>
        <s v="INV00251"/>
        <s v="INV00252"/>
        <s v="INV00253"/>
        <s v="INV00254"/>
        <s v="INV00255"/>
        <s v="INV00256"/>
        <s v="INV00257"/>
        <s v="INV00258"/>
        <s v="INV00259"/>
        <s v="INV00260"/>
        <s v="INV00261"/>
        <s v="INV00262"/>
        <s v="INV00263"/>
        <s v="INV00264"/>
        <s v="INV00265"/>
        <s v="INV00266"/>
        <s v="INV00267"/>
        <s v="INV00268"/>
        <s v="INV00269"/>
        <s v="INV00270"/>
        <s v="INV00271"/>
        <s v="INV00272"/>
        <s v="INV00273"/>
        <s v="INV00274"/>
        <s v="INV00275"/>
        <s v="INV00276"/>
        <s v="INV00277"/>
        <s v="INV00278"/>
        <s v="INV00279"/>
        <s v="INV00280"/>
        <s v="INV00281"/>
        <s v="INV00282"/>
        <s v="INV00283"/>
        <s v="INV00284"/>
        <s v="INV00285"/>
        <s v="INV00286"/>
        <s v="INV00287"/>
        <s v="INV00288"/>
        <s v="INV00289"/>
        <s v="INV00290"/>
        <s v="INV00291"/>
        <s v="INV00292"/>
        <s v="INV00293"/>
        <s v="INV00294"/>
        <s v="INV00295"/>
        <s v="INV00296"/>
        <s v="INV00297"/>
        <s v="INV00298"/>
        <s v="INV00299"/>
        <s v="INV00300"/>
        <s v="INV00301"/>
        <s v="INV00302"/>
        <s v="INV00303"/>
        <s v="INV00304"/>
        <s v="INV00305"/>
        <s v="INV00306"/>
        <s v="INV00307"/>
        <s v="INV00308"/>
        <s v="INV00309"/>
        <s v="INV00310"/>
        <s v="INV00311"/>
        <s v="INV00312"/>
        <s v="INV00313"/>
        <s v="INV00314"/>
        <s v="INV00315"/>
        <s v="INV00316"/>
        <s v="INV00317"/>
        <s v="INV00318"/>
        <s v="INV00319"/>
        <s v="INV00320"/>
        <s v="INV00321"/>
        <s v="INV00322"/>
        <s v="INV00323"/>
        <s v="INV00324"/>
        <s v="INV00325"/>
        <s v="INV00326"/>
        <s v="INV00327"/>
        <s v="INV00328"/>
        <s v="INV00329"/>
        <s v="INV00330"/>
        <s v="INV00331"/>
        <s v="INV00332"/>
        <s v="INV00333"/>
        <s v="INV00334"/>
        <s v="INV00335"/>
        <s v="INV00336"/>
        <s v="INV00337"/>
        <s v="INV00338"/>
        <s v="INV00339"/>
        <s v="INV00340"/>
        <s v="INV00341"/>
        <s v="INV00342"/>
        <s v="INV00343"/>
        <s v="INV00344"/>
        <s v="INV00345"/>
        <s v="INV00346"/>
        <s v="INV00347"/>
        <s v="INV00348"/>
        <s v="INV00349"/>
        <s v="INV00350"/>
        <s v="INV00351"/>
        <s v="INV00352"/>
        <s v="INV00353"/>
        <s v="INV00354"/>
        <s v="INV00355"/>
        <s v="INV00356"/>
        <s v="INV00357"/>
        <s v="INV00358"/>
        <s v="INV00359"/>
        <s v="INV00360"/>
        <s v="INV00361"/>
        <s v="INV00362"/>
        <s v="INV00363"/>
        <s v="INV00364"/>
        <s v="INV00365"/>
        <s v="INV00366"/>
        <s v="INV00367"/>
        <s v="INV00368"/>
        <s v="INV00369"/>
        <s v="INV00370"/>
        <s v="INV00371"/>
        <s v="INV00372"/>
        <s v="INV00373"/>
        <s v="INV00374"/>
        <s v="INV00375"/>
        <s v="INV00376"/>
        <s v="INV00377"/>
        <s v="INV00378"/>
        <s v="INV00379"/>
        <s v="INV00380"/>
        <s v="INV00381"/>
        <s v="INV00382"/>
        <s v="INV00383"/>
        <s v="INV00384"/>
        <s v="INV00385"/>
        <s v="INV00386"/>
        <s v="INV00387"/>
        <s v="INV00388"/>
        <s v="INV00389"/>
        <s v="INV00390"/>
        <s v="INV00391"/>
        <s v="INV00392"/>
        <s v="INV00393"/>
        <s v="INV00394"/>
        <s v="INV00395"/>
        <s v="INV00396"/>
        <s v="INV00397"/>
        <s v="INV00398"/>
        <s v="INV00399"/>
        <s v="INV00400"/>
        <s v="INV00401"/>
        <s v="INV00402"/>
        <s v="INV00403"/>
        <s v="INV00404"/>
        <s v="INV00405"/>
        <s v="INV00406"/>
        <s v="INV00407"/>
        <s v="INV00408"/>
        <s v="INV00409"/>
        <s v="INV00410"/>
        <s v="INV00411"/>
        <s v="INV00412"/>
        <s v="INV00413"/>
        <s v="INV00414"/>
        <s v="INV00415"/>
        <s v="INV00416"/>
        <s v="INV00417"/>
        <s v="INV00418"/>
        <s v="INV00419"/>
        <s v="INV00420"/>
        <s v="INV00421"/>
        <s v="INV00422"/>
        <s v="INV00423"/>
        <s v="INV00424"/>
        <s v="INV00425"/>
        <s v="INV00426"/>
        <s v="INV00427"/>
        <s v="INV00428"/>
        <s v="INV00429"/>
        <s v="INV00430"/>
        <s v="INV00431"/>
        <s v="INV00432"/>
        <s v="INV00433"/>
        <s v="INV00434"/>
        <s v="INV00435"/>
        <s v="INV00436"/>
        <s v="INV00437"/>
        <s v="INV00438"/>
        <s v="INV00439"/>
        <s v="INV00440"/>
        <s v="INV00441"/>
        <s v="INV00442"/>
        <s v="INV00443"/>
        <s v="INV00444"/>
        <s v="INV00445"/>
        <s v="INV00446"/>
        <s v="INV00447"/>
        <s v="INV00448"/>
        <s v="INV00449"/>
        <s v="INV00450"/>
        <s v="INV00451"/>
        <s v="INV00452"/>
        <s v="INV00453"/>
        <s v="INV00454"/>
        <s v="INV00455"/>
        <s v="INV00456"/>
        <s v="INV00457"/>
        <s v="INV00458"/>
        <s v="INV00459"/>
        <s v="INV00460"/>
        <s v="INV00461"/>
        <s v="INV00462"/>
        <s v="INV00463"/>
        <s v="INV00464"/>
        <s v="INV00465"/>
        <s v="INV00466"/>
        <s v="INV00467"/>
        <s v="INV00468"/>
        <s v="INV00469"/>
        <s v="INV00470"/>
        <s v="INV00471"/>
        <s v="INV00472"/>
        <s v="INV00473"/>
        <s v="INV00474"/>
        <s v="INV00475"/>
        <s v="INV00476"/>
        <s v="INV00477"/>
        <s v="INV00478"/>
        <s v="INV00479"/>
        <s v="INV00480"/>
        <s v="INV00481"/>
        <s v="INV00482"/>
        <s v="INV00483"/>
        <s v="INV00484"/>
        <s v="INV00485"/>
        <s v="INV00486"/>
        <s v="INV00487"/>
        <s v="INV00488"/>
        <s v="INV00489"/>
        <s v="INV00490"/>
        <s v="INV00491"/>
        <s v="INV00492"/>
        <s v="INV00493"/>
        <s v="INV00494"/>
        <s v="INV00495"/>
        <s v="INV00496"/>
        <s v="INV00497"/>
        <s v="INV00498"/>
        <s v="INV00499"/>
        <s v="INV00500"/>
      </sharedItems>
    </cacheField>
    <cacheField name="Outlet_ID" uniqueList="1" numFmtId="0" sqlType="0" hierarchy="0" level="0" databaseField="1">
      <sharedItems count="10">
        <s v="OUT001"/>
        <s v="OUT002"/>
        <s v="OUT003"/>
        <s v="OUT004"/>
        <s v="OUT005"/>
        <s v="OUT006"/>
        <s v="OUT007"/>
        <s v="OUT008"/>
        <s v="OUT009"/>
        <s v="OUT010"/>
      </sharedItems>
    </cacheField>
    <cacheField name="Outlet_Name" uniqueList="1" numFmtId="0" sqlType="0" hierarchy="0" level="0" databaseField="1">
      <sharedItems count="10">
        <s v="BrewBean RS Puram"/>
        <s v="BrewBean Peelamedu"/>
        <s v="BrewBean Gandhipuram"/>
        <s v="BrewBean Saravanampatti"/>
        <s v="BrewBean Saibaba Colony"/>
        <s v="BrewBean Tiruppur"/>
        <s v="BrewBean Pollachi"/>
        <s v="BrewBean Salem"/>
        <s v="BrewBean Madurai"/>
        <s v="BrewBean Trichy"/>
      </sharedItems>
    </cacheField>
    <cacheField name="Product_ID" uniqueList="1" numFmtId="0" sqlType="0" hierarchy="0" level="0" databaseField="1">
      <sharedItems count="50">
        <s v="BP001"/>
        <s v="BP002"/>
        <s v="BP003"/>
        <s v="BP004"/>
        <s v="BP005"/>
        <s v="BP006"/>
        <s v="BP007"/>
        <s v="BP008"/>
        <s v="BP009"/>
        <s v="BP010"/>
        <s v="BP011"/>
        <s v="BP012"/>
        <s v="BP013"/>
        <s v="BP014"/>
        <s v="BP015"/>
        <s v="BP016"/>
        <s v="BP017"/>
        <s v="BP018"/>
        <s v="BP019"/>
        <s v="BP020"/>
        <s v="BP021"/>
        <s v="BP022"/>
        <s v="BP023"/>
        <s v="BP024"/>
        <s v="BP025"/>
        <s v="BP026"/>
        <s v="BP027"/>
        <s v="BP028"/>
        <s v="BP029"/>
        <s v="BP030"/>
        <s v="BP031"/>
        <s v="BP032"/>
        <s v="BP033"/>
        <s v="BP034"/>
        <s v="BP035"/>
        <s v="BP036"/>
        <s v="BP037"/>
        <s v="BP038"/>
        <s v="BP039"/>
        <s v="BP040"/>
        <s v="BP041"/>
        <s v="BP042"/>
        <s v="BP043"/>
        <s v="BP044"/>
        <s v="BP045"/>
        <s v="BP046"/>
        <s v="BP047"/>
        <s v="BP048"/>
        <s v="BP049"/>
        <s v="BP050"/>
      </sharedItems>
    </cacheField>
    <cacheField name="Product_Name" uniqueList="1" numFmtId="0" sqlType="0" hierarchy="0" level="0" databaseField="1">
      <sharedItems count="50">
        <s v="Product 1"/>
        <s v="Product 2"/>
        <s v="Product 3"/>
        <s v="Product 4"/>
        <s v="Product 5"/>
        <s v="Product 6"/>
        <s v="Product 7"/>
        <s v="Product 8"/>
        <s v="Product 9"/>
        <s v="Product 10"/>
        <s v="Product 11"/>
        <s v="Product 12"/>
        <s v="Product 13"/>
        <s v="Product 14"/>
        <s v="Product 15"/>
        <s v="Product 16"/>
        <s v="Product 17"/>
        <s v="Product 18"/>
        <s v="Product 19"/>
        <s v="Product 20"/>
        <s v="Product 21"/>
        <s v="Product 22"/>
        <s v="Product 23"/>
        <s v="Product 24"/>
        <s v="Product 25"/>
        <s v="Product 26"/>
        <s v="Product 27"/>
        <s v="Product 28"/>
        <s v="Product 29"/>
        <s v="Product 30"/>
        <s v="Product 31"/>
        <s v="Product 32"/>
        <s v="Product 33"/>
        <s v="Product 34"/>
        <s v="Product 35"/>
        <s v="Product 36"/>
        <s v="Product 37"/>
        <s v="Product 38"/>
        <s v="Product 39"/>
        <s v="Product 40"/>
        <s v="Product 41"/>
        <s v="Product 42"/>
        <s v="Product 43"/>
        <s v="Product 44"/>
        <s v="Product 45"/>
        <s v="Product 46"/>
        <s v="Product 47"/>
        <s v="Product 48"/>
        <s v="Product 49"/>
        <s v="Product 50"/>
      </sharedItems>
    </cacheField>
    <cacheField name="Category" uniqueList="1" numFmtId="0" sqlType="0" hierarchy="0" level="0" databaseField="1">
      <sharedItems count="15">
        <s v="Coffee"/>
        <s v="Cold Coffee"/>
        <s v="Frappes"/>
        <s v="Tea"/>
        <s v="Fresh Juice"/>
        <s v="Smoothie"/>
        <s v="Sandwich"/>
        <s v="Burger"/>
        <s v="Wrap"/>
        <s v="Sides"/>
        <s v="Pastry"/>
        <s v="Cake"/>
        <s v="Cookies"/>
        <s v="Dessert"/>
        <s v="Beverage"/>
      </sharedItems>
    </cacheField>
    <cacheField name="Opening_Stock" uniqueList="1" numFmtId="0" sqlType="0" hierarchy="0" level="0" databaseField="1">
      <sharedItems count="0" containsInteger="1" containsNumber="1" containsSemiMixedTypes="0" containsString="0" minValue="40" maxValue="150"/>
    </cacheField>
    <cacheField name="Received_Stock" uniqueList="1" numFmtId="0" sqlType="0" hierarchy="0" level="0" databaseField="1">
      <sharedItems count="0" containsInteger="1" containsNumber="1" containsSemiMixedTypes="0" containsString="0" minValue="20" maxValue="100"/>
    </cacheField>
    <cacheField name="Units_Sold" uniqueList="1" numFmtId="0" sqlType="0" hierarchy="0" level="0" databaseField="1">
      <sharedItems count="0" containsInteger="1" containsNumber="1" containsSemiMixedTypes="0" containsString="0" minValue="30" maxValue="174"/>
    </cacheField>
    <cacheField name="Wastage" uniqueList="1" numFmtId="0" sqlType="0" hierarchy="0" level="0" databaseField="1">
      <sharedItems count="0" containsInteger="1" containsNumber="1" containsSemiMixedTypes="0" containsString="0" minValue="0" maxValue="8"/>
    </cacheField>
    <cacheField name="Reorder_Level" uniqueList="1" numFmtId="0" sqlType="0" hierarchy="0" level="0" databaseField="1">
      <sharedItems count="0" containsInteger="1" containsNumber="1" containsSemiMixedTypes="0" containsString="0" minValue="15" maxValue="40"/>
    </cacheField>
    <cacheField name="Supplier_Lead_Time_Days" uniqueList="1" numFmtId="0" sqlType="0" hierarchy="0" level="0" databaseField="1">
      <sharedItems count="0" containsInteger="1" containsNumber="1" containsSemiMixedTypes="0" containsString="0" minValue="1" maxValue="5"/>
    </cacheField>
    <cacheField name="Closing_Stock_Source" uniqueList="1" numFmtId="0" sqlType="0" hierarchy="0" level="0" databaseField="1">
      <sharedItems count="0" containsInteger="1" containsNumber="1" containsSemiMixedTypes="0" containsString="0" minValue="0" maxValue="210"/>
    </cacheField>
    <cacheField name="Status_Source" uniqueList="1" numFmtId="0" sqlType="0" hierarchy="0" level="0" databaseField="1">
      <sharedItems count="2">
        <s v="Reorder Required"/>
        <s v="Healthy"/>
      </sharedItems>
    </cacheField>
    <cacheField name="Stock_Available" uniqueList="1" numFmtId="0" sqlType="0" hierarchy="0" level="0" databaseField="1">
      <sharedItems count="0" containsInteger="1" containsNumber="1" containsSemiMixedTypes="0" containsString="0" minValue="60" maxValue="242"/>
    </cacheField>
    <cacheField name="Closing_Stock" uniqueList="1" numFmtId="0" sqlType="0" hierarchy="0" level="0" databaseField="1">
      <sharedItems count="0" containsInteger="1" containsNumber="1" containsSemiMixedTypes="0" containsString="0" minValue="-103" maxValue="210"/>
    </cacheField>
    <cacheField name="Closing_Stock_Adj" uniqueList="1" numFmtId="0" sqlType="0" hierarchy="0" level="0" databaseField="1">
      <sharedItems count="0" containsInteger="1" containsNumber="1" containsSemiMixedTypes="0" containsString="0" minValue="0" maxValue="210"/>
    </cacheField>
    <cacheField name="Stock_Shortfall" uniqueList="1" numFmtId="0" sqlType="0" hierarchy="0" level="0" databaseField="1">
      <sharedItems count="0" containsInteger="1" containsNumber="1" containsSemiMixedTypes="0" containsString="0" minValue="0" maxValue="103"/>
    </cacheField>
    <cacheField name="Wastage_%" uniqueList="1" numFmtId="0" sqlType="0" hierarchy="0" level="0" databaseField="1">
      <sharedItems count="0" containsNumber="1" containsSemiMixedTypes="0" containsString="0" minValue="0" maxValue="0.08333333333333333"/>
    </cacheField>
    <cacheField name="Stock_Utilization_%" uniqueList="1" numFmtId="0" sqlType="0" hierarchy="0" level="0" databaseField="1">
      <sharedItems count="0" containsNumber="1" containsSemiMixedTypes="0" containsString="0" minValue="0.1239669421487603" maxValue="2.633333333333333"/>
    </cacheField>
    <cacheField name="Reorder_Status" uniqueList="1" numFmtId="0" sqlType="0" hierarchy="0" level="0" databaseField="1">
      <sharedItems count="2">
        <s v="Reorder Required"/>
        <s v="Stock Sufficient"/>
      </sharedItems>
    </cacheField>
    <cacheField name="Data_Check" uniqueList="1" numFmtId="0" sqlType="0" hierarchy="0" level="0" databaseField="1">
      <sharedItems count="1">
        <s v="OK"/>
      </sharedItems>
    </cacheField>
  </cacheFields>
</pivotCacheDefinition>
</file>

<file path=xl/pivotCache/pivotCacheRecords1.xml><?xml version="1.0" encoding="utf-8"?>
<pivotCacheRecords xmlns="http://schemas.openxmlformats.org/spreadsheetml/2006/main" count="500">
  <r>
    <x v="0"/>
    <x v="0"/>
    <x v="0"/>
    <x v="0"/>
    <x v="0"/>
    <x v="0"/>
    <n v="51"/>
    <n v="71"/>
    <n v="174"/>
    <n v="0"/>
    <n v="31"/>
    <n v="1"/>
    <n v="0"/>
    <x v="0"/>
    <n v="122"/>
    <n v="-52"/>
    <n v="0"/>
    <n v="52"/>
    <n v="0"/>
    <n v="1.426229508196721"/>
    <x v="0"/>
    <x v="0"/>
  </r>
  <r>
    <x v="1"/>
    <x v="0"/>
    <x v="0"/>
    <x v="1"/>
    <x v="1"/>
    <x v="1"/>
    <n v="127"/>
    <n v="96"/>
    <n v="72"/>
    <n v="2"/>
    <n v="19"/>
    <n v="4"/>
    <n v="149"/>
    <x v="1"/>
    <n v="223"/>
    <n v="149"/>
    <n v="149"/>
    <n v="0"/>
    <n v="0.008968609865470852"/>
    <n v="0.3228699551569507"/>
    <x v="1"/>
    <x v="0"/>
  </r>
  <r>
    <x v="2"/>
    <x v="0"/>
    <x v="0"/>
    <x v="2"/>
    <x v="2"/>
    <x v="2"/>
    <n v="52"/>
    <n v="22"/>
    <n v="172"/>
    <n v="3"/>
    <n v="17"/>
    <n v="5"/>
    <n v="0"/>
    <x v="0"/>
    <n v="74"/>
    <n v="-101"/>
    <n v="0"/>
    <n v="101"/>
    <n v="0.04054054054054054"/>
    <n v="2.324324324324324"/>
    <x v="0"/>
    <x v="0"/>
  </r>
  <r>
    <x v="3"/>
    <x v="0"/>
    <x v="0"/>
    <x v="3"/>
    <x v="3"/>
    <x v="3"/>
    <n v="40"/>
    <n v="42"/>
    <n v="144"/>
    <n v="1"/>
    <n v="21"/>
    <n v="2"/>
    <n v="0"/>
    <x v="0"/>
    <n v="82"/>
    <n v="-63"/>
    <n v="0"/>
    <n v="63"/>
    <n v="0.01219512195121951"/>
    <n v="1.75609756097561"/>
    <x v="0"/>
    <x v="0"/>
  </r>
  <r>
    <x v="4"/>
    <x v="0"/>
    <x v="0"/>
    <x v="4"/>
    <x v="4"/>
    <x v="4"/>
    <n v="104"/>
    <n v="36"/>
    <n v="98"/>
    <n v="3"/>
    <n v="38"/>
    <n v="3"/>
    <n v="39"/>
    <x v="1"/>
    <n v="140"/>
    <n v="39"/>
    <n v="39"/>
    <n v="0"/>
    <n v="0.02142857142857143"/>
    <n v="0.7"/>
    <x v="1"/>
    <x v="0"/>
  </r>
  <r>
    <x v="5"/>
    <x v="0"/>
    <x v="0"/>
    <x v="5"/>
    <x v="5"/>
    <x v="5"/>
    <n v="111"/>
    <n v="25"/>
    <n v="95"/>
    <n v="2"/>
    <n v="32"/>
    <n v="5"/>
    <n v="39"/>
    <x v="1"/>
    <n v="136"/>
    <n v="39"/>
    <n v="39"/>
    <n v="0"/>
    <n v="0.01470588235294118"/>
    <n v="0.6985294117647058"/>
    <x v="1"/>
    <x v="0"/>
  </r>
  <r>
    <x v="6"/>
    <x v="0"/>
    <x v="0"/>
    <x v="6"/>
    <x v="6"/>
    <x v="6"/>
    <n v="66"/>
    <n v="29"/>
    <n v="66"/>
    <n v="2"/>
    <n v="18"/>
    <n v="4"/>
    <n v="27"/>
    <x v="1"/>
    <n v="95"/>
    <n v="27"/>
    <n v="27"/>
    <n v="0"/>
    <n v="0.02105263157894737"/>
    <n v="0.6947368421052632"/>
    <x v="1"/>
    <x v="0"/>
  </r>
  <r>
    <x v="7"/>
    <x v="0"/>
    <x v="0"/>
    <x v="7"/>
    <x v="7"/>
    <x v="7"/>
    <n v="96"/>
    <n v="74"/>
    <n v="137"/>
    <n v="1"/>
    <n v="32"/>
    <n v="4"/>
    <n v="32"/>
    <x v="0"/>
    <n v="170"/>
    <n v="32"/>
    <n v="32"/>
    <n v="0"/>
    <n v="0.005882352941176471"/>
    <n v="0.8058823529411765"/>
    <x v="0"/>
    <x v="0"/>
  </r>
  <r>
    <x v="8"/>
    <x v="0"/>
    <x v="0"/>
    <x v="8"/>
    <x v="8"/>
    <x v="8"/>
    <n v="54"/>
    <n v="84"/>
    <n v="159"/>
    <n v="1"/>
    <n v="37"/>
    <n v="3"/>
    <n v="0"/>
    <x v="0"/>
    <n v="138"/>
    <n v="-22"/>
    <n v="0"/>
    <n v="22"/>
    <n v="0.007246376811594203"/>
    <n v="1.152173913043478"/>
    <x v="0"/>
    <x v="0"/>
  </r>
  <r>
    <x v="9"/>
    <x v="0"/>
    <x v="0"/>
    <x v="9"/>
    <x v="9"/>
    <x v="9"/>
    <n v="43"/>
    <n v="86"/>
    <n v="101"/>
    <n v="2"/>
    <n v="36"/>
    <n v="3"/>
    <n v="26"/>
    <x v="0"/>
    <n v="129"/>
    <n v="26"/>
    <n v="26"/>
    <n v="0"/>
    <n v="0.01550387596899225"/>
    <n v="0.7829457364341085"/>
    <x v="0"/>
    <x v="0"/>
  </r>
  <r>
    <x v="10"/>
    <x v="0"/>
    <x v="0"/>
    <x v="10"/>
    <x v="10"/>
    <x v="10"/>
    <n v="127"/>
    <n v="45"/>
    <n v="113"/>
    <n v="1"/>
    <n v="29"/>
    <n v="2"/>
    <n v="58"/>
    <x v="1"/>
    <n v="172"/>
    <n v="58"/>
    <n v="58"/>
    <n v="0"/>
    <n v="0.005813953488372093"/>
    <n v="0.6569767441860465"/>
    <x v="1"/>
    <x v="0"/>
  </r>
  <r>
    <x v="11"/>
    <x v="0"/>
    <x v="0"/>
    <x v="11"/>
    <x v="11"/>
    <x v="11"/>
    <n v="95"/>
    <n v="53"/>
    <n v="92"/>
    <n v="2"/>
    <n v="21"/>
    <n v="5"/>
    <n v="54"/>
    <x v="1"/>
    <n v="148"/>
    <n v="54"/>
    <n v="54"/>
    <n v="0"/>
    <n v="0.01351351351351351"/>
    <n v="0.6216216216216216"/>
    <x v="1"/>
    <x v="0"/>
  </r>
  <r>
    <x v="12"/>
    <x v="0"/>
    <x v="0"/>
    <x v="12"/>
    <x v="12"/>
    <x v="12"/>
    <n v="45"/>
    <n v="38"/>
    <n v="105"/>
    <n v="0"/>
    <n v="29"/>
    <n v="1"/>
    <n v="0"/>
    <x v="0"/>
    <n v="83"/>
    <n v="-22"/>
    <n v="0"/>
    <n v="22"/>
    <n v="0"/>
    <n v="1.265060240963855"/>
    <x v="0"/>
    <x v="0"/>
  </r>
  <r>
    <x v="13"/>
    <x v="0"/>
    <x v="0"/>
    <x v="13"/>
    <x v="13"/>
    <x v="13"/>
    <n v="101"/>
    <n v="75"/>
    <n v="74"/>
    <n v="0"/>
    <n v="31"/>
    <n v="3"/>
    <n v="102"/>
    <x v="1"/>
    <n v="176"/>
    <n v="102"/>
    <n v="102"/>
    <n v="0"/>
    <n v="0"/>
    <n v="0.4204545454545455"/>
    <x v="1"/>
    <x v="0"/>
  </r>
  <r>
    <x v="14"/>
    <x v="0"/>
    <x v="0"/>
    <x v="14"/>
    <x v="14"/>
    <x v="14"/>
    <n v="115"/>
    <n v="25"/>
    <n v="144"/>
    <n v="2"/>
    <n v="32"/>
    <n v="3"/>
    <n v="0"/>
    <x v="0"/>
    <n v="140"/>
    <n v="-6"/>
    <n v="0"/>
    <n v="6"/>
    <n v="0.01428571428571429"/>
    <n v="1.028571428571428"/>
    <x v="0"/>
    <x v="0"/>
  </r>
  <r>
    <x v="15"/>
    <x v="0"/>
    <x v="0"/>
    <x v="15"/>
    <x v="15"/>
    <x v="0"/>
    <n v="112"/>
    <n v="75"/>
    <n v="96"/>
    <n v="1"/>
    <n v="29"/>
    <n v="1"/>
    <n v="90"/>
    <x v="1"/>
    <n v="187"/>
    <n v="90"/>
    <n v="90"/>
    <n v="0"/>
    <n v="0.0053475935828877"/>
    <n v="0.5133689839572193"/>
    <x v="1"/>
    <x v="0"/>
  </r>
  <r>
    <x v="16"/>
    <x v="0"/>
    <x v="0"/>
    <x v="16"/>
    <x v="16"/>
    <x v="1"/>
    <n v="131"/>
    <n v="43"/>
    <n v="133"/>
    <n v="0"/>
    <n v="34"/>
    <n v="5"/>
    <n v="41"/>
    <x v="1"/>
    <n v="174"/>
    <n v="41"/>
    <n v="41"/>
    <n v="0"/>
    <n v="0"/>
    <n v="0.764367816091954"/>
    <x v="1"/>
    <x v="0"/>
  </r>
  <r>
    <x v="17"/>
    <x v="0"/>
    <x v="0"/>
    <x v="17"/>
    <x v="17"/>
    <x v="2"/>
    <n v="51"/>
    <n v="53"/>
    <n v="114"/>
    <n v="0"/>
    <n v="23"/>
    <n v="1"/>
    <n v="0"/>
    <x v="0"/>
    <n v="104"/>
    <n v="-10"/>
    <n v="0"/>
    <n v="10"/>
    <n v="0"/>
    <n v="1.096153846153846"/>
    <x v="0"/>
    <x v="0"/>
  </r>
  <r>
    <x v="18"/>
    <x v="0"/>
    <x v="0"/>
    <x v="18"/>
    <x v="18"/>
    <x v="3"/>
    <n v="92"/>
    <n v="36"/>
    <n v="89"/>
    <n v="1"/>
    <n v="28"/>
    <n v="2"/>
    <n v="38"/>
    <x v="1"/>
    <n v="128"/>
    <n v="38"/>
    <n v="38"/>
    <n v="0"/>
    <n v="0.0078125"/>
    <n v="0.6953125"/>
    <x v="1"/>
    <x v="0"/>
  </r>
  <r>
    <x v="19"/>
    <x v="0"/>
    <x v="0"/>
    <x v="19"/>
    <x v="19"/>
    <x v="4"/>
    <n v="72"/>
    <n v="80"/>
    <n v="146"/>
    <n v="1"/>
    <n v="28"/>
    <n v="1"/>
    <n v="5"/>
    <x v="0"/>
    <n v="152"/>
    <n v="5"/>
    <n v="5"/>
    <n v="0"/>
    <n v="0.006578947368421052"/>
    <n v="0.9605263157894737"/>
    <x v="0"/>
    <x v="0"/>
  </r>
  <r>
    <x v="20"/>
    <x v="0"/>
    <x v="0"/>
    <x v="20"/>
    <x v="20"/>
    <x v="5"/>
    <n v="52"/>
    <n v="31"/>
    <n v="77"/>
    <n v="3"/>
    <n v="19"/>
    <n v="5"/>
    <n v="3"/>
    <x v="0"/>
    <n v="83"/>
    <n v="3"/>
    <n v="3"/>
    <n v="0"/>
    <n v="0.03614457831325301"/>
    <n v="0.927710843373494"/>
    <x v="0"/>
    <x v="0"/>
  </r>
  <r>
    <x v="21"/>
    <x v="0"/>
    <x v="0"/>
    <x v="21"/>
    <x v="21"/>
    <x v="6"/>
    <n v="141"/>
    <n v="94"/>
    <n v="115"/>
    <n v="0"/>
    <n v="29"/>
    <n v="5"/>
    <n v="120"/>
    <x v="1"/>
    <n v="235"/>
    <n v="120"/>
    <n v="120"/>
    <n v="0"/>
    <n v="0"/>
    <n v="0.4893617021276596"/>
    <x v="1"/>
    <x v="0"/>
  </r>
  <r>
    <x v="22"/>
    <x v="0"/>
    <x v="0"/>
    <x v="22"/>
    <x v="22"/>
    <x v="7"/>
    <n v="55"/>
    <n v="92"/>
    <n v="119"/>
    <n v="3"/>
    <n v="30"/>
    <n v="5"/>
    <n v="25"/>
    <x v="0"/>
    <n v="147"/>
    <n v="25"/>
    <n v="25"/>
    <n v="0"/>
    <n v="0.02040816326530612"/>
    <n v="0.8095238095238095"/>
    <x v="0"/>
    <x v="0"/>
  </r>
  <r>
    <x v="23"/>
    <x v="0"/>
    <x v="0"/>
    <x v="23"/>
    <x v="23"/>
    <x v="8"/>
    <n v="150"/>
    <n v="69"/>
    <n v="86"/>
    <n v="3"/>
    <n v="28"/>
    <n v="3"/>
    <n v="130"/>
    <x v="1"/>
    <n v="219"/>
    <n v="130"/>
    <n v="130"/>
    <n v="0"/>
    <n v="0.0136986301369863"/>
    <n v="0.3926940639269406"/>
    <x v="1"/>
    <x v="0"/>
  </r>
  <r>
    <x v="24"/>
    <x v="0"/>
    <x v="0"/>
    <x v="24"/>
    <x v="24"/>
    <x v="9"/>
    <n v="86"/>
    <n v="30"/>
    <n v="117"/>
    <n v="2"/>
    <n v="26"/>
    <n v="5"/>
    <n v="0"/>
    <x v="0"/>
    <n v="116"/>
    <n v="-3"/>
    <n v="0"/>
    <n v="3"/>
    <n v="0.01724137931034483"/>
    <n v="1.008620689655172"/>
    <x v="0"/>
    <x v="0"/>
  </r>
  <r>
    <x v="25"/>
    <x v="0"/>
    <x v="0"/>
    <x v="25"/>
    <x v="25"/>
    <x v="10"/>
    <n v="53"/>
    <n v="25"/>
    <n v="114"/>
    <n v="2"/>
    <n v="40"/>
    <n v="5"/>
    <n v="0"/>
    <x v="0"/>
    <n v="78"/>
    <n v="-38"/>
    <n v="0"/>
    <n v="38"/>
    <n v="0.02564102564102564"/>
    <n v="1.461538461538461"/>
    <x v="0"/>
    <x v="0"/>
  </r>
  <r>
    <x v="26"/>
    <x v="0"/>
    <x v="0"/>
    <x v="26"/>
    <x v="26"/>
    <x v="11"/>
    <n v="44"/>
    <n v="39"/>
    <n v="134"/>
    <n v="0"/>
    <n v="37"/>
    <n v="4"/>
    <n v="0"/>
    <x v="0"/>
    <n v="83"/>
    <n v="-51"/>
    <n v="0"/>
    <n v="51"/>
    <n v="0"/>
    <n v="1.614457831325301"/>
    <x v="0"/>
    <x v="0"/>
  </r>
  <r>
    <x v="27"/>
    <x v="0"/>
    <x v="0"/>
    <x v="27"/>
    <x v="27"/>
    <x v="12"/>
    <n v="41"/>
    <n v="44"/>
    <n v="99"/>
    <n v="0"/>
    <n v="17"/>
    <n v="5"/>
    <n v="0"/>
    <x v="0"/>
    <n v="85"/>
    <n v="-14"/>
    <n v="0"/>
    <n v="14"/>
    <n v="0"/>
    <n v="1.164705882352941"/>
    <x v="0"/>
    <x v="0"/>
  </r>
  <r>
    <x v="28"/>
    <x v="0"/>
    <x v="0"/>
    <x v="28"/>
    <x v="28"/>
    <x v="13"/>
    <n v="114"/>
    <n v="24"/>
    <n v="173"/>
    <n v="1"/>
    <n v="15"/>
    <n v="2"/>
    <n v="0"/>
    <x v="0"/>
    <n v="138"/>
    <n v="-36"/>
    <n v="0"/>
    <n v="36"/>
    <n v="0.007246376811594203"/>
    <n v="1.253623188405797"/>
    <x v="0"/>
    <x v="0"/>
  </r>
  <r>
    <x v="29"/>
    <x v="0"/>
    <x v="0"/>
    <x v="29"/>
    <x v="29"/>
    <x v="14"/>
    <n v="53"/>
    <n v="100"/>
    <n v="90"/>
    <n v="4"/>
    <n v="16"/>
    <n v="1"/>
    <n v="59"/>
    <x v="1"/>
    <n v="153"/>
    <n v="59"/>
    <n v="59"/>
    <n v="0"/>
    <n v="0.0261437908496732"/>
    <n v="0.5882352941176471"/>
    <x v="1"/>
    <x v="0"/>
  </r>
  <r>
    <x v="30"/>
    <x v="0"/>
    <x v="0"/>
    <x v="30"/>
    <x v="30"/>
    <x v="0"/>
    <n v="120"/>
    <n v="82"/>
    <n v="114"/>
    <n v="7"/>
    <n v="30"/>
    <n v="2"/>
    <n v="81"/>
    <x v="1"/>
    <n v="202"/>
    <n v="81"/>
    <n v="81"/>
    <n v="0"/>
    <n v="0.03465346534653466"/>
    <n v="0.5643564356435643"/>
    <x v="1"/>
    <x v="0"/>
  </r>
  <r>
    <x v="31"/>
    <x v="0"/>
    <x v="0"/>
    <x v="31"/>
    <x v="31"/>
    <x v="1"/>
    <n v="40"/>
    <n v="20"/>
    <n v="158"/>
    <n v="5"/>
    <n v="38"/>
    <n v="1"/>
    <n v="0"/>
    <x v="0"/>
    <n v="60"/>
    <n v="-103"/>
    <n v="0"/>
    <n v="103"/>
    <n v="0.08333333333333333"/>
    <n v="2.633333333333333"/>
    <x v="0"/>
    <x v="0"/>
  </r>
  <r>
    <x v="32"/>
    <x v="0"/>
    <x v="0"/>
    <x v="32"/>
    <x v="32"/>
    <x v="2"/>
    <n v="98"/>
    <n v="46"/>
    <n v="88"/>
    <n v="5"/>
    <n v="40"/>
    <n v="5"/>
    <n v="51"/>
    <x v="1"/>
    <n v="144"/>
    <n v="51"/>
    <n v="51"/>
    <n v="0"/>
    <n v="0.03472222222222222"/>
    <n v="0.6111111111111112"/>
    <x v="1"/>
    <x v="0"/>
  </r>
  <r>
    <x v="33"/>
    <x v="0"/>
    <x v="0"/>
    <x v="33"/>
    <x v="33"/>
    <x v="3"/>
    <n v="90"/>
    <n v="22"/>
    <n v="93"/>
    <n v="3"/>
    <n v="32"/>
    <n v="4"/>
    <n v="16"/>
    <x v="0"/>
    <n v="112"/>
    <n v="16"/>
    <n v="16"/>
    <n v="0"/>
    <n v="0.02678571428571428"/>
    <n v="0.8303571428571429"/>
    <x v="0"/>
    <x v="0"/>
  </r>
  <r>
    <x v="34"/>
    <x v="0"/>
    <x v="0"/>
    <x v="34"/>
    <x v="34"/>
    <x v="4"/>
    <n v="132"/>
    <n v="53"/>
    <n v="70"/>
    <n v="7"/>
    <n v="29"/>
    <n v="5"/>
    <n v="108"/>
    <x v="1"/>
    <n v="185"/>
    <n v="108"/>
    <n v="108"/>
    <n v="0"/>
    <n v="0.03783783783783784"/>
    <n v="0.3783783783783784"/>
    <x v="1"/>
    <x v="0"/>
  </r>
  <r>
    <x v="35"/>
    <x v="0"/>
    <x v="0"/>
    <x v="35"/>
    <x v="35"/>
    <x v="5"/>
    <n v="113"/>
    <n v="64"/>
    <n v="107"/>
    <n v="5"/>
    <n v="30"/>
    <n v="4"/>
    <n v="65"/>
    <x v="1"/>
    <n v="177"/>
    <n v="65"/>
    <n v="65"/>
    <n v="0"/>
    <n v="0.02824858757062147"/>
    <n v="0.6045197740112994"/>
    <x v="1"/>
    <x v="0"/>
  </r>
  <r>
    <x v="36"/>
    <x v="0"/>
    <x v="0"/>
    <x v="36"/>
    <x v="36"/>
    <x v="6"/>
    <n v="105"/>
    <n v="65"/>
    <n v="112"/>
    <n v="2"/>
    <n v="28"/>
    <n v="2"/>
    <n v="56"/>
    <x v="1"/>
    <n v="170"/>
    <n v="56"/>
    <n v="56"/>
    <n v="0"/>
    <n v="0.01176470588235294"/>
    <n v="0.6588235294117647"/>
    <x v="1"/>
    <x v="0"/>
  </r>
  <r>
    <x v="37"/>
    <x v="0"/>
    <x v="0"/>
    <x v="37"/>
    <x v="37"/>
    <x v="7"/>
    <n v="97"/>
    <n v="43"/>
    <n v="139"/>
    <n v="4"/>
    <n v="39"/>
    <n v="4"/>
    <n v="0"/>
    <x v="0"/>
    <n v="140"/>
    <n v="-3"/>
    <n v="0"/>
    <n v="3"/>
    <n v="0.02857142857142857"/>
    <n v="0.9928571428571429"/>
    <x v="0"/>
    <x v="0"/>
  </r>
  <r>
    <x v="38"/>
    <x v="0"/>
    <x v="0"/>
    <x v="38"/>
    <x v="38"/>
    <x v="8"/>
    <n v="143"/>
    <n v="60"/>
    <n v="80"/>
    <n v="7"/>
    <n v="38"/>
    <n v="4"/>
    <n v="116"/>
    <x v="1"/>
    <n v="203"/>
    <n v="116"/>
    <n v="116"/>
    <n v="0"/>
    <n v="0.03448275862068965"/>
    <n v="0.3940886699507389"/>
    <x v="1"/>
    <x v="0"/>
  </r>
  <r>
    <x v="39"/>
    <x v="0"/>
    <x v="0"/>
    <x v="39"/>
    <x v="39"/>
    <x v="9"/>
    <n v="115"/>
    <n v="79"/>
    <n v="80"/>
    <n v="8"/>
    <n v="30"/>
    <n v="2"/>
    <n v="106"/>
    <x v="1"/>
    <n v="194"/>
    <n v="106"/>
    <n v="106"/>
    <n v="0"/>
    <n v="0.04123711340206185"/>
    <n v="0.4123711340206185"/>
    <x v="1"/>
    <x v="0"/>
  </r>
  <r>
    <x v="40"/>
    <x v="0"/>
    <x v="0"/>
    <x v="40"/>
    <x v="40"/>
    <x v="10"/>
    <n v="115"/>
    <n v="99"/>
    <n v="95"/>
    <n v="0"/>
    <n v="30"/>
    <n v="5"/>
    <n v="119"/>
    <x v="1"/>
    <n v="214"/>
    <n v="119"/>
    <n v="119"/>
    <n v="0"/>
    <n v="0"/>
    <n v="0.4439252336448598"/>
    <x v="1"/>
    <x v="0"/>
  </r>
  <r>
    <x v="41"/>
    <x v="0"/>
    <x v="0"/>
    <x v="41"/>
    <x v="41"/>
    <x v="11"/>
    <n v="51"/>
    <n v="48"/>
    <n v="111"/>
    <n v="2"/>
    <n v="15"/>
    <n v="2"/>
    <n v="0"/>
    <x v="0"/>
    <n v="99"/>
    <n v="-14"/>
    <n v="0"/>
    <n v="14"/>
    <n v="0.0202020202020202"/>
    <n v="1.121212121212121"/>
    <x v="0"/>
    <x v="0"/>
  </r>
  <r>
    <x v="42"/>
    <x v="0"/>
    <x v="0"/>
    <x v="42"/>
    <x v="42"/>
    <x v="12"/>
    <n v="101"/>
    <n v="45"/>
    <n v="96"/>
    <n v="1"/>
    <n v="38"/>
    <n v="2"/>
    <n v="49"/>
    <x v="1"/>
    <n v="146"/>
    <n v="49"/>
    <n v="49"/>
    <n v="0"/>
    <n v="0.00684931506849315"/>
    <n v="0.6575342465753424"/>
    <x v="1"/>
    <x v="0"/>
  </r>
  <r>
    <x v="43"/>
    <x v="0"/>
    <x v="0"/>
    <x v="43"/>
    <x v="43"/>
    <x v="13"/>
    <n v="41"/>
    <n v="50"/>
    <n v="139"/>
    <n v="3"/>
    <n v="19"/>
    <n v="5"/>
    <n v="0"/>
    <x v="0"/>
    <n v="91"/>
    <n v="-51"/>
    <n v="0"/>
    <n v="51"/>
    <n v="0.03296703296703297"/>
    <n v="1.527472527472527"/>
    <x v="0"/>
    <x v="0"/>
  </r>
  <r>
    <x v="44"/>
    <x v="0"/>
    <x v="0"/>
    <x v="44"/>
    <x v="44"/>
    <x v="14"/>
    <n v="79"/>
    <n v="51"/>
    <n v="79"/>
    <n v="0"/>
    <n v="35"/>
    <n v="5"/>
    <n v="51"/>
    <x v="1"/>
    <n v="130"/>
    <n v="51"/>
    <n v="51"/>
    <n v="0"/>
    <n v="0"/>
    <n v="0.6076923076923076"/>
    <x v="1"/>
    <x v="0"/>
  </r>
  <r>
    <x v="45"/>
    <x v="0"/>
    <x v="0"/>
    <x v="45"/>
    <x v="45"/>
    <x v="0"/>
    <n v="109"/>
    <n v="42"/>
    <n v="111"/>
    <n v="2"/>
    <n v="35"/>
    <n v="1"/>
    <n v="38"/>
    <x v="1"/>
    <n v="151"/>
    <n v="38"/>
    <n v="38"/>
    <n v="0"/>
    <n v="0.01324503311258278"/>
    <n v="0.7350993377483444"/>
    <x v="1"/>
    <x v="0"/>
  </r>
  <r>
    <x v="46"/>
    <x v="0"/>
    <x v="0"/>
    <x v="46"/>
    <x v="46"/>
    <x v="1"/>
    <n v="147"/>
    <n v="72"/>
    <n v="86"/>
    <n v="2"/>
    <n v="40"/>
    <n v="5"/>
    <n v="131"/>
    <x v="1"/>
    <n v="219"/>
    <n v="131"/>
    <n v="131"/>
    <n v="0"/>
    <n v="0.0091324200913242"/>
    <n v="0.3926940639269406"/>
    <x v="1"/>
    <x v="0"/>
  </r>
  <r>
    <x v="47"/>
    <x v="0"/>
    <x v="0"/>
    <x v="47"/>
    <x v="47"/>
    <x v="2"/>
    <n v="66"/>
    <n v="88"/>
    <n v="75"/>
    <n v="2"/>
    <n v="30"/>
    <n v="5"/>
    <n v="77"/>
    <x v="1"/>
    <n v="154"/>
    <n v="77"/>
    <n v="77"/>
    <n v="0"/>
    <n v="0.01298701298701299"/>
    <n v="0.487012987012987"/>
    <x v="1"/>
    <x v="0"/>
  </r>
  <r>
    <x v="48"/>
    <x v="0"/>
    <x v="0"/>
    <x v="48"/>
    <x v="48"/>
    <x v="3"/>
    <n v="94"/>
    <n v="41"/>
    <n v="143"/>
    <n v="2"/>
    <n v="33"/>
    <n v="3"/>
    <n v="0"/>
    <x v="0"/>
    <n v="135"/>
    <n v="-10"/>
    <n v="0"/>
    <n v="10"/>
    <n v="0.01481481481481482"/>
    <n v="1.059259259259259"/>
    <x v="0"/>
    <x v="0"/>
  </r>
  <r>
    <x v="49"/>
    <x v="0"/>
    <x v="0"/>
    <x v="49"/>
    <x v="49"/>
    <x v="4"/>
    <n v="89"/>
    <n v="73"/>
    <n v="130"/>
    <n v="2"/>
    <n v="17"/>
    <n v="2"/>
    <n v="30"/>
    <x v="1"/>
    <n v="162"/>
    <n v="30"/>
    <n v="30"/>
    <n v="0"/>
    <n v="0.01234567901234568"/>
    <n v="0.8024691358024691"/>
    <x v="1"/>
    <x v="0"/>
  </r>
  <r>
    <x v="50"/>
    <x v="1"/>
    <x v="1"/>
    <x v="0"/>
    <x v="0"/>
    <x v="0"/>
    <n v="140"/>
    <n v="90"/>
    <n v="124"/>
    <n v="2"/>
    <n v="35"/>
    <n v="3"/>
    <n v="104"/>
    <x v="1"/>
    <n v="230"/>
    <n v="104"/>
    <n v="104"/>
    <n v="0"/>
    <n v="0.008695652173913044"/>
    <n v="0.5391304347826087"/>
    <x v="1"/>
    <x v="0"/>
  </r>
  <r>
    <x v="51"/>
    <x v="1"/>
    <x v="1"/>
    <x v="1"/>
    <x v="1"/>
    <x v="1"/>
    <n v="100"/>
    <n v="49"/>
    <n v="60"/>
    <n v="3"/>
    <n v="20"/>
    <n v="4"/>
    <n v="86"/>
    <x v="1"/>
    <n v="149"/>
    <n v="86"/>
    <n v="86"/>
    <n v="0"/>
    <n v="0.02013422818791946"/>
    <n v="0.4026845637583892"/>
    <x v="1"/>
    <x v="0"/>
  </r>
  <r>
    <x v="52"/>
    <x v="1"/>
    <x v="1"/>
    <x v="2"/>
    <x v="2"/>
    <x v="2"/>
    <n v="145"/>
    <n v="33"/>
    <n v="64"/>
    <n v="0"/>
    <n v="37"/>
    <n v="5"/>
    <n v="114"/>
    <x v="1"/>
    <n v="178"/>
    <n v="114"/>
    <n v="114"/>
    <n v="0"/>
    <n v="0"/>
    <n v="0.3595505617977528"/>
    <x v="1"/>
    <x v="0"/>
  </r>
  <r>
    <x v="53"/>
    <x v="1"/>
    <x v="1"/>
    <x v="3"/>
    <x v="3"/>
    <x v="3"/>
    <n v="132"/>
    <n v="67"/>
    <n v="110"/>
    <n v="2"/>
    <n v="31"/>
    <n v="1"/>
    <n v="87"/>
    <x v="1"/>
    <n v="199"/>
    <n v="87"/>
    <n v="87"/>
    <n v="0"/>
    <n v="0.01005025125628141"/>
    <n v="0.5527638190954773"/>
    <x v="1"/>
    <x v="0"/>
  </r>
  <r>
    <x v="54"/>
    <x v="1"/>
    <x v="1"/>
    <x v="4"/>
    <x v="4"/>
    <x v="4"/>
    <n v="102"/>
    <n v="93"/>
    <n v="86"/>
    <n v="1"/>
    <n v="38"/>
    <n v="3"/>
    <n v="108"/>
    <x v="1"/>
    <n v="195"/>
    <n v="108"/>
    <n v="108"/>
    <n v="0"/>
    <n v="0.005128205128205128"/>
    <n v="0.441025641025641"/>
    <x v="1"/>
    <x v="0"/>
  </r>
  <r>
    <x v="55"/>
    <x v="1"/>
    <x v="1"/>
    <x v="5"/>
    <x v="5"/>
    <x v="5"/>
    <n v="70"/>
    <n v="56"/>
    <n v="72"/>
    <n v="0"/>
    <n v="39"/>
    <n v="2"/>
    <n v="54"/>
    <x v="1"/>
    <n v="126"/>
    <n v="54"/>
    <n v="54"/>
    <n v="0"/>
    <n v="0"/>
    <n v="0.5714285714285714"/>
    <x v="1"/>
    <x v="0"/>
  </r>
  <r>
    <x v="56"/>
    <x v="1"/>
    <x v="1"/>
    <x v="6"/>
    <x v="6"/>
    <x v="6"/>
    <n v="103"/>
    <n v="68"/>
    <n v="70"/>
    <n v="0"/>
    <n v="18"/>
    <n v="1"/>
    <n v="101"/>
    <x v="1"/>
    <n v="171"/>
    <n v="101"/>
    <n v="101"/>
    <n v="0"/>
    <n v="0"/>
    <n v="0.4093567251461988"/>
    <x v="1"/>
    <x v="0"/>
  </r>
  <r>
    <x v="57"/>
    <x v="1"/>
    <x v="1"/>
    <x v="7"/>
    <x v="7"/>
    <x v="7"/>
    <n v="128"/>
    <n v="61"/>
    <n v="90"/>
    <n v="0"/>
    <n v="18"/>
    <n v="4"/>
    <n v="99"/>
    <x v="1"/>
    <n v="189"/>
    <n v="99"/>
    <n v="99"/>
    <n v="0"/>
    <n v="0"/>
    <n v="0.4761904761904762"/>
    <x v="1"/>
    <x v="0"/>
  </r>
  <r>
    <x v="58"/>
    <x v="1"/>
    <x v="1"/>
    <x v="8"/>
    <x v="8"/>
    <x v="8"/>
    <n v="89"/>
    <n v="88"/>
    <n v="125"/>
    <n v="0"/>
    <n v="27"/>
    <n v="3"/>
    <n v="52"/>
    <x v="1"/>
    <n v="177"/>
    <n v="52"/>
    <n v="52"/>
    <n v="0"/>
    <n v="0"/>
    <n v="0.7062146892655368"/>
    <x v="1"/>
    <x v="0"/>
  </r>
  <r>
    <x v="59"/>
    <x v="1"/>
    <x v="1"/>
    <x v="9"/>
    <x v="9"/>
    <x v="9"/>
    <n v="63"/>
    <n v="90"/>
    <n v="102"/>
    <n v="3"/>
    <n v="19"/>
    <n v="5"/>
    <n v="48"/>
    <x v="1"/>
    <n v="153"/>
    <n v="48"/>
    <n v="48"/>
    <n v="0"/>
    <n v="0.0196078431372549"/>
    <n v="0.6666666666666666"/>
    <x v="1"/>
    <x v="0"/>
  </r>
  <r>
    <x v="60"/>
    <x v="1"/>
    <x v="1"/>
    <x v="10"/>
    <x v="10"/>
    <x v="10"/>
    <n v="86"/>
    <n v="47"/>
    <n v="127"/>
    <n v="0"/>
    <n v="24"/>
    <n v="1"/>
    <n v="6"/>
    <x v="0"/>
    <n v="133"/>
    <n v="6"/>
    <n v="6"/>
    <n v="0"/>
    <n v="0"/>
    <n v="0.9548872180451128"/>
    <x v="0"/>
    <x v="0"/>
  </r>
  <r>
    <x v="61"/>
    <x v="1"/>
    <x v="1"/>
    <x v="11"/>
    <x v="11"/>
    <x v="11"/>
    <n v="123"/>
    <n v="55"/>
    <n v="85"/>
    <n v="3"/>
    <n v="22"/>
    <n v="4"/>
    <n v="90"/>
    <x v="1"/>
    <n v="178"/>
    <n v="90"/>
    <n v="90"/>
    <n v="0"/>
    <n v="0.01685393258426966"/>
    <n v="0.4775280898876405"/>
    <x v="1"/>
    <x v="0"/>
  </r>
  <r>
    <x v="62"/>
    <x v="1"/>
    <x v="1"/>
    <x v="12"/>
    <x v="12"/>
    <x v="12"/>
    <n v="51"/>
    <n v="59"/>
    <n v="76"/>
    <n v="1"/>
    <n v="15"/>
    <n v="5"/>
    <n v="33"/>
    <x v="1"/>
    <n v="110"/>
    <n v="33"/>
    <n v="33"/>
    <n v="0"/>
    <n v="0.00909090909090909"/>
    <n v="0.6909090909090909"/>
    <x v="1"/>
    <x v="0"/>
  </r>
  <r>
    <x v="63"/>
    <x v="1"/>
    <x v="1"/>
    <x v="13"/>
    <x v="13"/>
    <x v="13"/>
    <n v="44"/>
    <n v="89"/>
    <n v="116"/>
    <n v="3"/>
    <n v="17"/>
    <n v="3"/>
    <n v="14"/>
    <x v="0"/>
    <n v="133"/>
    <n v="14"/>
    <n v="14"/>
    <n v="0"/>
    <n v="0.02255639097744361"/>
    <n v="0.8721804511278195"/>
    <x v="0"/>
    <x v="0"/>
  </r>
  <r>
    <x v="64"/>
    <x v="1"/>
    <x v="1"/>
    <x v="14"/>
    <x v="14"/>
    <x v="14"/>
    <n v="87"/>
    <n v="98"/>
    <n v="46"/>
    <n v="0"/>
    <n v="39"/>
    <n v="1"/>
    <n v="139"/>
    <x v="1"/>
    <n v="185"/>
    <n v="139"/>
    <n v="139"/>
    <n v="0"/>
    <n v="0"/>
    <n v="0.2486486486486487"/>
    <x v="1"/>
    <x v="0"/>
  </r>
  <r>
    <x v="65"/>
    <x v="1"/>
    <x v="1"/>
    <x v="15"/>
    <x v="15"/>
    <x v="0"/>
    <n v="88"/>
    <n v="29"/>
    <n v="122"/>
    <n v="3"/>
    <n v="30"/>
    <n v="3"/>
    <n v="0"/>
    <x v="0"/>
    <n v="117"/>
    <n v="-8"/>
    <n v="0"/>
    <n v="8"/>
    <n v="0.02564102564102564"/>
    <n v="1.042735042735043"/>
    <x v="0"/>
    <x v="0"/>
  </r>
  <r>
    <x v="66"/>
    <x v="1"/>
    <x v="1"/>
    <x v="16"/>
    <x v="16"/>
    <x v="1"/>
    <n v="144"/>
    <n v="84"/>
    <n v="52"/>
    <n v="3"/>
    <n v="19"/>
    <n v="2"/>
    <n v="173"/>
    <x v="1"/>
    <n v="228"/>
    <n v="173"/>
    <n v="173"/>
    <n v="0"/>
    <n v="0.0131578947368421"/>
    <n v="0.2280701754385965"/>
    <x v="1"/>
    <x v="0"/>
  </r>
  <r>
    <x v="67"/>
    <x v="1"/>
    <x v="1"/>
    <x v="17"/>
    <x v="17"/>
    <x v="2"/>
    <n v="90"/>
    <n v="100"/>
    <n v="77"/>
    <n v="2"/>
    <n v="27"/>
    <n v="3"/>
    <n v="111"/>
    <x v="1"/>
    <n v="190"/>
    <n v="111"/>
    <n v="111"/>
    <n v="0"/>
    <n v="0.01052631578947368"/>
    <n v="0.4052631578947368"/>
    <x v="1"/>
    <x v="0"/>
  </r>
  <r>
    <x v="68"/>
    <x v="1"/>
    <x v="1"/>
    <x v="18"/>
    <x v="18"/>
    <x v="3"/>
    <n v="53"/>
    <n v="80"/>
    <n v="101"/>
    <n v="0"/>
    <n v="36"/>
    <n v="2"/>
    <n v="32"/>
    <x v="0"/>
    <n v="133"/>
    <n v="32"/>
    <n v="32"/>
    <n v="0"/>
    <n v="0"/>
    <n v="0.7593984962406015"/>
    <x v="0"/>
    <x v="0"/>
  </r>
  <r>
    <x v="69"/>
    <x v="1"/>
    <x v="1"/>
    <x v="19"/>
    <x v="19"/>
    <x v="4"/>
    <n v="79"/>
    <n v="33"/>
    <n v="129"/>
    <n v="1"/>
    <n v="24"/>
    <n v="4"/>
    <n v="0"/>
    <x v="0"/>
    <n v="112"/>
    <n v="-18"/>
    <n v="0"/>
    <n v="18"/>
    <n v="0.008928571428571428"/>
    <n v="1.151785714285714"/>
    <x v="0"/>
    <x v="0"/>
  </r>
  <r>
    <x v="70"/>
    <x v="1"/>
    <x v="1"/>
    <x v="20"/>
    <x v="20"/>
    <x v="5"/>
    <n v="91"/>
    <n v="92"/>
    <n v="86"/>
    <n v="2"/>
    <n v="20"/>
    <n v="4"/>
    <n v="95"/>
    <x v="1"/>
    <n v="183"/>
    <n v="95"/>
    <n v="95"/>
    <n v="0"/>
    <n v="0.01092896174863388"/>
    <n v="0.4699453551912569"/>
    <x v="1"/>
    <x v="0"/>
  </r>
  <r>
    <x v="71"/>
    <x v="1"/>
    <x v="1"/>
    <x v="21"/>
    <x v="21"/>
    <x v="6"/>
    <n v="149"/>
    <n v="45"/>
    <n v="66"/>
    <n v="3"/>
    <n v="21"/>
    <n v="4"/>
    <n v="125"/>
    <x v="1"/>
    <n v="194"/>
    <n v="125"/>
    <n v="125"/>
    <n v="0"/>
    <n v="0.0154639175257732"/>
    <n v="0.3402061855670103"/>
    <x v="1"/>
    <x v="0"/>
  </r>
  <r>
    <x v="72"/>
    <x v="1"/>
    <x v="1"/>
    <x v="22"/>
    <x v="22"/>
    <x v="7"/>
    <n v="55"/>
    <n v="76"/>
    <n v="61"/>
    <n v="0"/>
    <n v="28"/>
    <n v="4"/>
    <n v="70"/>
    <x v="1"/>
    <n v="131"/>
    <n v="70"/>
    <n v="70"/>
    <n v="0"/>
    <n v="0"/>
    <n v="0.4656488549618321"/>
    <x v="1"/>
    <x v="0"/>
  </r>
  <r>
    <x v="73"/>
    <x v="1"/>
    <x v="1"/>
    <x v="23"/>
    <x v="23"/>
    <x v="8"/>
    <n v="49"/>
    <n v="21"/>
    <n v="74"/>
    <n v="3"/>
    <n v="34"/>
    <n v="4"/>
    <n v="0"/>
    <x v="0"/>
    <n v="70"/>
    <n v="-7"/>
    <n v="0"/>
    <n v="7"/>
    <n v="0.04285714285714286"/>
    <n v="1.057142857142857"/>
    <x v="0"/>
    <x v="0"/>
  </r>
  <r>
    <x v="74"/>
    <x v="1"/>
    <x v="1"/>
    <x v="24"/>
    <x v="24"/>
    <x v="9"/>
    <n v="101"/>
    <n v="32"/>
    <n v="84"/>
    <n v="3"/>
    <n v="15"/>
    <n v="5"/>
    <n v="46"/>
    <x v="1"/>
    <n v="133"/>
    <n v="46"/>
    <n v="46"/>
    <n v="0"/>
    <n v="0.02255639097744361"/>
    <n v="0.631578947368421"/>
    <x v="1"/>
    <x v="0"/>
  </r>
  <r>
    <x v="75"/>
    <x v="1"/>
    <x v="1"/>
    <x v="25"/>
    <x v="25"/>
    <x v="10"/>
    <n v="98"/>
    <n v="21"/>
    <n v="104"/>
    <n v="3"/>
    <n v="16"/>
    <n v="4"/>
    <n v="12"/>
    <x v="0"/>
    <n v="119"/>
    <n v="12"/>
    <n v="12"/>
    <n v="0"/>
    <n v="0.02521008403361345"/>
    <n v="0.8739495798319328"/>
    <x v="0"/>
    <x v="0"/>
  </r>
  <r>
    <x v="76"/>
    <x v="1"/>
    <x v="1"/>
    <x v="26"/>
    <x v="26"/>
    <x v="11"/>
    <n v="98"/>
    <n v="66"/>
    <n v="46"/>
    <n v="1"/>
    <n v="29"/>
    <n v="3"/>
    <n v="117"/>
    <x v="1"/>
    <n v="164"/>
    <n v="117"/>
    <n v="117"/>
    <n v="0"/>
    <n v="0.006097560975609756"/>
    <n v="0.2804878048780488"/>
    <x v="1"/>
    <x v="0"/>
  </r>
  <r>
    <x v="77"/>
    <x v="1"/>
    <x v="1"/>
    <x v="27"/>
    <x v="27"/>
    <x v="12"/>
    <n v="65"/>
    <n v="91"/>
    <n v="107"/>
    <n v="1"/>
    <n v="25"/>
    <n v="4"/>
    <n v="48"/>
    <x v="1"/>
    <n v="156"/>
    <n v="48"/>
    <n v="48"/>
    <n v="0"/>
    <n v="0.00641025641025641"/>
    <n v="0.6858974358974359"/>
    <x v="1"/>
    <x v="0"/>
  </r>
  <r>
    <x v="78"/>
    <x v="1"/>
    <x v="1"/>
    <x v="28"/>
    <x v="28"/>
    <x v="13"/>
    <n v="58"/>
    <n v="29"/>
    <n v="79"/>
    <n v="3"/>
    <n v="36"/>
    <n v="3"/>
    <n v="5"/>
    <x v="0"/>
    <n v="87"/>
    <n v="5"/>
    <n v="5"/>
    <n v="0"/>
    <n v="0.03448275862068965"/>
    <n v="0.9080459770114943"/>
    <x v="0"/>
    <x v="0"/>
  </r>
  <r>
    <x v="79"/>
    <x v="1"/>
    <x v="1"/>
    <x v="29"/>
    <x v="29"/>
    <x v="14"/>
    <n v="62"/>
    <n v="37"/>
    <n v="105"/>
    <n v="7"/>
    <n v="24"/>
    <n v="5"/>
    <n v="0"/>
    <x v="0"/>
    <n v="99"/>
    <n v="-13"/>
    <n v="0"/>
    <n v="13"/>
    <n v="0.0707070707070707"/>
    <n v="1.060606060606061"/>
    <x v="0"/>
    <x v="0"/>
  </r>
  <r>
    <x v="80"/>
    <x v="1"/>
    <x v="1"/>
    <x v="30"/>
    <x v="30"/>
    <x v="0"/>
    <n v="98"/>
    <n v="59"/>
    <n v="68"/>
    <n v="2"/>
    <n v="31"/>
    <n v="5"/>
    <n v="87"/>
    <x v="1"/>
    <n v="157"/>
    <n v="87"/>
    <n v="87"/>
    <n v="0"/>
    <n v="0.01273885350318471"/>
    <n v="0.4331210191082803"/>
    <x v="1"/>
    <x v="0"/>
  </r>
  <r>
    <x v="81"/>
    <x v="1"/>
    <x v="1"/>
    <x v="31"/>
    <x v="31"/>
    <x v="1"/>
    <n v="118"/>
    <n v="100"/>
    <n v="61"/>
    <n v="6"/>
    <n v="35"/>
    <n v="2"/>
    <n v="151"/>
    <x v="1"/>
    <n v="218"/>
    <n v="151"/>
    <n v="151"/>
    <n v="0"/>
    <n v="0.02752293577981652"/>
    <n v="0.2798165137614679"/>
    <x v="1"/>
    <x v="0"/>
  </r>
  <r>
    <x v="82"/>
    <x v="1"/>
    <x v="1"/>
    <x v="32"/>
    <x v="32"/>
    <x v="2"/>
    <n v="132"/>
    <n v="32"/>
    <n v="124"/>
    <n v="7"/>
    <n v="21"/>
    <n v="5"/>
    <n v="33"/>
    <x v="1"/>
    <n v="164"/>
    <n v="33"/>
    <n v="33"/>
    <n v="0"/>
    <n v="0.0426829268292683"/>
    <n v="0.7560975609756098"/>
    <x v="1"/>
    <x v="0"/>
  </r>
  <r>
    <x v="83"/>
    <x v="1"/>
    <x v="1"/>
    <x v="33"/>
    <x v="33"/>
    <x v="3"/>
    <n v="102"/>
    <n v="51"/>
    <n v="107"/>
    <n v="7"/>
    <n v="37"/>
    <n v="5"/>
    <n v="39"/>
    <x v="1"/>
    <n v="153"/>
    <n v="39"/>
    <n v="39"/>
    <n v="0"/>
    <n v="0.0457516339869281"/>
    <n v="0.6993464052287581"/>
    <x v="1"/>
    <x v="0"/>
  </r>
  <r>
    <x v="84"/>
    <x v="1"/>
    <x v="1"/>
    <x v="34"/>
    <x v="34"/>
    <x v="4"/>
    <n v="119"/>
    <n v="84"/>
    <n v="83"/>
    <n v="2"/>
    <n v="18"/>
    <n v="3"/>
    <n v="118"/>
    <x v="1"/>
    <n v="203"/>
    <n v="118"/>
    <n v="118"/>
    <n v="0"/>
    <n v="0.009852216748768473"/>
    <n v="0.4088669950738916"/>
    <x v="1"/>
    <x v="0"/>
  </r>
  <r>
    <x v="85"/>
    <x v="1"/>
    <x v="1"/>
    <x v="35"/>
    <x v="35"/>
    <x v="5"/>
    <n v="90"/>
    <n v="100"/>
    <n v="105"/>
    <n v="3"/>
    <n v="32"/>
    <n v="4"/>
    <n v="82"/>
    <x v="1"/>
    <n v="190"/>
    <n v="82"/>
    <n v="82"/>
    <n v="0"/>
    <n v="0.01578947368421053"/>
    <n v="0.5526315789473685"/>
    <x v="1"/>
    <x v="0"/>
  </r>
  <r>
    <x v="86"/>
    <x v="1"/>
    <x v="1"/>
    <x v="36"/>
    <x v="36"/>
    <x v="6"/>
    <n v="107"/>
    <n v="64"/>
    <n v="122"/>
    <n v="6"/>
    <n v="33"/>
    <n v="1"/>
    <n v="43"/>
    <x v="1"/>
    <n v="171"/>
    <n v="43"/>
    <n v="43"/>
    <n v="0"/>
    <n v="0.03508771929824561"/>
    <n v="0.7134502923976608"/>
    <x v="1"/>
    <x v="0"/>
  </r>
  <r>
    <x v="87"/>
    <x v="1"/>
    <x v="1"/>
    <x v="37"/>
    <x v="37"/>
    <x v="7"/>
    <n v="70"/>
    <n v="47"/>
    <n v="74"/>
    <n v="4"/>
    <n v="17"/>
    <n v="2"/>
    <n v="39"/>
    <x v="1"/>
    <n v="117"/>
    <n v="39"/>
    <n v="39"/>
    <n v="0"/>
    <n v="0.03418803418803419"/>
    <n v="0.6324786324786325"/>
    <x v="1"/>
    <x v="0"/>
  </r>
  <r>
    <x v="88"/>
    <x v="1"/>
    <x v="1"/>
    <x v="38"/>
    <x v="38"/>
    <x v="8"/>
    <n v="150"/>
    <n v="60"/>
    <n v="56"/>
    <n v="8"/>
    <n v="33"/>
    <n v="2"/>
    <n v="146"/>
    <x v="1"/>
    <n v="210"/>
    <n v="146"/>
    <n v="146"/>
    <n v="0"/>
    <n v="0.0380952380952381"/>
    <n v="0.2666666666666667"/>
    <x v="1"/>
    <x v="0"/>
  </r>
  <r>
    <x v="89"/>
    <x v="1"/>
    <x v="1"/>
    <x v="39"/>
    <x v="39"/>
    <x v="9"/>
    <n v="143"/>
    <n v="82"/>
    <n v="87"/>
    <n v="7"/>
    <n v="19"/>
    <n v="1"/>
    <n v="131"/>
    <x v="1"/>
    <n v="225"/>
    <n v="131"/>
    <n v="131"/>
    <n v="0"/>
    <n v="0.03111111111111111"/>
    <n v="0.3866666666666667"/>
    <x v="1"/>
    <x v="0"/>
  </r>
  <r>
    <x v="90"/>
    <x v="1"/>
    <x v="1"/>
    <x v="40"/>
    <x v="40"/>
    <x v="10"/>
    <n v="123"/>
    <n v="85"/>
    <n v="50"/>
    <n v="1"/>
    <n v="20"/>
    <n v="3"/>
    <n v="157"/>
    <x v="1"/>
    <n v="208"/>
    <n v="157"/>
    <n v="157"/>
    <n v="0"/>
    <n v="0.004807692307692308"/>
    <n v="0.2403846153846154"/>
    <x v="1"/>
    <x v="0"/>
  </r>
  <r>
    <x v="91"/>
    <x v="1"/>
    <x v="1"/>
    <x v="41"/>
    <x v="41"/>
    <x v="11"/>
    <n v="122"/>
    <n v="75"/>
    <n v="60"/>
    <n v="3"/>
    <n v="35"/>
    <n v="3"/>
    <n v="134"/>
    <x v="1"/>
    <n v="197"/>
    <n v="134"/>
    <n v="134"/>
    <n v="0"/>
    <n v="0.01522842639593909"/>
    <n v="0.3045685279187818"/>
    <x v="1"/>
    <x v="0"/>
  </r>
  <r>
    <x v="92"/>
    <x v="1"/>
    <x v="1"/>
    <x v="42"/>
    <x v="42"/>
    <x v="12"/>
    <n v="85"/>
    <n v="76"/>
    <n v="73"/>
    <n v="0"/>
    <n v="36"/>
    <n v="4"/>
    <n v="88"/>
    <x v="1"/>
    <n v="161"/>
    <n v="88"/>
    <n v="88"/>
    <n v="0"/>
    <n v="0"/>
    <n v="0.453416149068323"/>
    <x v="1"/>
    <x v="0"/>
  </r>
  <r>
    <x v="93"/>
    <x v="1"/>
    <x v="1"/>
    <x v="43"/>
    <x v="43"/>
    <x v="13"/>
    <n v="74"/>
    <n v="65"/>
    <n v="49"/>
    <n v="1"/>
    <n v="34"/>
    <n v="2"/>
    <n v="89"/>
    <x v="1"/>
    <n v="139"/>
    <n v="89"/>
    <n v="89"/>
    <n v="0"/>
    <n v="0.007194244604316547"/>
    <n v="0.3525179856115108"/>
    <x v="1"/>
    <x v="0"/>
  </r>
  <r>
    <x v="94"/>
    <x v="1"/>
    <x v="1"/>
    <x v="44"/>
    <x v="44"/>
    <x v="14"/>
    <n v="58"/>
    <n v="63"/>
    <n v="67"/>
    <n v="1"/>
    <n v="22"/>
    <n v="1"/>
    <n v="53"/>
    <x v="1"/>
    <n v="121"/>
    <n v="53"/>
    <n v="53"/>
    <n v="0"/>
    <n v="0.008264462809917356"/>
    <n v="0.5537190082644629"/>
    <x v="1"/>
    <x v="0"/>
  </r>
  <r>
    <x v="95"/>
    <x v="1"/>
    <x v="1"/>
    <x v="45"/>
    <x v="45"/>
    <x v="0"/>
    <n v="148"/>
    <n v="24"/>
    <n v="93"/>
    <n v="2"/>
    <n v="32"/>
    <n v="2"/>
    <n v="77"/>
    <x v="1"/>
    <n v="172"/>
    <n v="77"/>
    <n v="77"/>
    <n v="0"/>
    <n v="0.01162790697674419"/>
    <n v="0.5406976744186046"/>
    <x v="1"/>
    <x v="0"/>
  </r>
  <r>
    <x v="96"/>
    <x v="1"/>
    <x v="1"/>
    <x v="46"/>
    <x v="46"/>
    <x v="1"/>
    <n v="135"/>
    <n v="93"/>
    <n v="65"/>
    <n v="1"/>
    <n v="31"/>
    <n v="1"/>
    <n v="162"/>
    <x v="1"/>
    <n v="228"/>
    <n v="162"/>
    <n v="162"/>
    <n v="0"/>
    <n v="0.004385964912280702"/>
    <n v="0.2850877192982456"/>
    <x v="1"/>
    <x v="0"/>
  </r>
  <r>
    <x v="97"/>
    <x v="1"/>
    <x v="1"/>
    <x v="47"/>
    <x v="47"/>
    <x v="2"/>
    <n v="61"/>
    <n v="26"/>
    <n v="78"/>
    <n v="3"/>
    <n v="35"/>
    <n v="1"/>
    <n v="6"/>
    <x v="0"/>
    <n v="87"/>
    <n v="6"/>
    <n v="6"/>
    <n v="0"/>
    <n v="0.03448275862068965"/>
    <n v="0.896551724137931"/>
    <x v="0"/>
    <x v="0"/>
  </r>
  <r>
    <x v="98"/>
    <x v="1"/>
    <x v="1"/>
    <x v="48"/>
    <x v="48"/>
    <x v="3"/>
    <n v="128"/>
    <n v="38"/>
    <n v="99"/>
    <n v="1"/>
    <n v="29"/>
    <n v="2"/>
    <n v="66"/>
    <x v="1"/>
    <n v="166"/>
    <n v="66"/>
    <n v="66"/>
    <n v="0"/>
    <n v="0.006024096385542169"/>
    <n v="0.5963855421686747"/>
    <x v="1"/>
    <x v="0"/>
  </r>
  <r>
    <x v="99"/>
    <x v="1"/>
    <x v="1"/>
    <x v="49"/>
    <x v="49"/>
    <x v="4"/>
    <n v="69"/>
    <n v="24"/>
    <n v="84"/>
    <n v="3"/>
    <n v="19"/>
    <n v="4"/>
    <n v="6"/>
    <x v="0"/>
    <n v="93"/>
    <n v="6"/>
    <n v="6"/>
    <n v="0"/>
    <n v="0.03225806451612903"/>
    <n v="0.9032258064516129"/>
    <x v="0"/>
    <x v="0"/>
  </r>
  <r>
    <x v="100"/>
    <x v="2"/>
    <x v="2"/>
    <x v="0"/>
    <x v="0"/>
    <x v="0"/>
    <n v="104"/>
    <n v="32"/>
    <n v="129"/>
    <n v="1"/>
    <n v="22"/>
    <n v="5"/>
    <n v="6"/>
    <x v="0"/>
    <n v="136"/>
    <n v="6"/>
    <n v="6"/>
    <n v="0"/>
    <n v="0.007352941176470588"/>
    <n v="0.9485294117647058"/>
    <x v="0"/>
    <x v="0"/>
  </r>
  <r>
    <x v="101"/>
    <x v="2"/>
    <x v="2"/>
    <x v="1"/>
    <x v="1"/>
    <x v="1"/>
    <n v="98"/>
    <n v="26"/>
    <n v="120"/>
    <n v="1"/>
    <n v="15"/>
    <n v="4"/>
    <n v="3"/>
    <x v="0"/>
    <n v="124"/>
    <n v="3"/>
    <n v="3"/>
    <n v="0"/>
    <n v="0.008064516129032258"/>
    <n v="0.967741935483871"/>
    <x v="0"/>
    <x v="0"/>
  </r>
  <r>
    <x v="102"/>
    <x v="2"/>
    <x v="2"/>
    <x v="2"/>
    <x v="2"/>
    <x v="2"/>
    <n v="83"/>
    <n v="31"/>
    <n v="136"/>
    <n v="3"/>
    <n v="15"/>
    <n v="5"/>
    <n v="0"/>
    <x v="0"/>
    <n v="114"/>
    <n v="-25"/>
    <n v="0"/>
    <n v="25"/>
    <n v="0.02631578947368421"/>
    <n v="1.192982456140351"/>
    <x v="0"/>
    <x v="0"/>
  </r>
  <r>
    <x v="103"/>
    <x v="2"/>
    <x v="2"/>
    <x v="3"/>
    <x v="3"/>
    <x v="3"/>
    <n v="65"/>
    <n v="49"/>
    <n v="82"/>
    <n v="2"/>
    <n v="17"/>
    <n v="3"/>
    <n v="30"/>
    <x v="1"/>
    <n v="114"/>
    <n v="30"/>
    <n v="30"/>
    <n v="0"/>
    <n v="0.01754385964912281"/>
    <n v="0.7192982456140351"/>
    <x v="1"/>
    <x v="0"/>
  </r>
  <r>
    <x v="104"/>
    <x v="2"/>
    <x v="2"/>
    <x v="4"/>
    <x v="4"/>
    <x v="4"/>
    <n v="71"/>
    <n v="46"/>
    <n v="124"/>
    <n v="0"/>
    <n v="31"/>
    <n v="1"/>
    <n v="0"/>
    <x v="0"/>
    <n v="117"/>
    <n v="-7"/>
    <n v="0"/>
    <n v="7"/>
    <n v="0"/>
    <n v="1.05982905982906"/>
    <x v="0"/>
    <x v="0"/>
  </r>
  <r>
    <x v="105"/>
    <x v="2"/>
    <x v="2"/>
    <x v="5"/>
    <x v="5"/>
    <x v="5"/>
    <n v="126"/>
    <n v="42"/>
    <n v="77"/>
    <n v="0"/>
    <n v="28"/>
    <n v="1"/>
    <n v="91"/>
    <x v="1"/>
    <n v="168"/>
    <n v="91"/>
    <n v="91"/>
    <n v="0"/>
    <n v="0"/>
    <n v="0.4583333333333333"/>
    <x v="1"/>
    <x v="0"/>
  </r>
  <r>
    <x v="106"/>
    <x v="2"/>
    <x v="2"/>
    <x v="6"/>
    <x v="6"/>
    <x v="6"/>
    <n v="76"/>
    <n v="64"/>
    <n v="101"/>
    <n v="3"/>
    <n v="33"/>
    <n v="2"/>
    <n v="36"/>
    <x v="1"/>
    <n v="140"/>
    <n v="36"/>
    <n v="36"/>
    <n v="0"/>
    <n v="0.02142857142857143"/>
    <n v="0.7214285714285714"/>
    <x v="1"/>
    <x v="0"/>
  </r>
  <r>
    <x v="107"/>
    <x v="2"/>
    <x v="2"/>
    <x v="7"/>
    <x v="7"/>
    <x v="7"/>
    <n v="79"/>
    <n v="59"/>
    <n v="83"/>
    <n v="0"/>
    <n v="21"/>
    <n v="4"/>
    <n v="55"/>
    <x v="1"/>
    <n v="138"/>
    <n v="55"/>
    <n v="55"/>
    <n v="0"/>
    <n v="0"/>
    <n v="0.6014492753623188"/>
    <x v="1"/>
    <x v="0"/>
  </r>
  <r>
    <x v="108"/>
    <x v="2"/>
    <x v="2"/>
    <x v="8"/>
    <x v="8"/>
    <x v="8"/>
    <n v="88"/>
    <n v="87"/>
    <n v="115"/>
    <n v="2"/>
    <n v="30"/>
    <n v="5"/>
    <n v="58"/>
    <x v="1"/>
    <n v="175"/>
    <n v="58"/>
    <n v="58"/>
    <n v="0"/>
    <n v="0.01142857142857143"/>
    <n v="0.6571428571428571"/>
    <x v="1"/>
    <x v="0"/>
  </r>
  <r>
    <x v="109"/>
    <x v="2"/>
    <x v="2"/>
    <x v="9"/>
    <x v="9"/>
    <x v="9"/>
    <n v="137"/>
    <n v="50"/>
    <n v="72"/>
    <n v="0"/>
    <n v="18"/>
    <n v="4"/>
    <n v="115"/>
    <x v="1"/>
    <n v="187"/>
    <n v="115"/>
    <n v="115"/>
    <n v="0"/>
    <n v="0"/>
    <n v="0.3850267379679144"/>
    <x v="1"/>
    <x v="0"/>
  </r>
  <r>
    <x v="110"/>
    <x v="2"/>
    <x v="2"/>
    <x v="10"/>
    <x v="10"/>
    <x v="10"/>
    <n v="146"/>
    <n v="55"/>
    <n v="95"/>
    <n v="1"/>
    <n v="19"/>
    <n v="5"/>
    <n v="105"/>
    <x v="1"/>
    <n v="201"/>
    <n v="105"/>
    <n v="105"/>
    <n v="0"/>
    <n v="0.004975124378109453"/>
    <n v="0.472636815920398"/>
    <x v="1"/>
    <x v="0"/>
  </r>
  <r>
    <x v="111"/>
    <x v="2"/>
    <x v="2"/>
    <x v="11"/>
    <x v="11"/>
    <x v="11"/>
    <n v="113"/>
    <n v="100"/>
    <n v="139"/>
    <n v="3"/>
    <n v="20"/>
    <n v="3"/>
    <n v="71"/>
    <x v="1"/>
    <n v="213"/>
    <n v="71"/>
    <n v="71"/>
    <n v="0"/>
    <n v="0.01408450704225352"/>
    <n v="0.6525821596244131"/>
    <x v="1"/>
    <x v="0"/>
  </r>
  <r>
    <x v="112"/>
    <x v="2"/>
    <x v="2"/>
    <x v="12"/>
    <x v="12"/>
    <x v="12"/>
    <n v="41"/>
    <n v="73"/>
    <n v="61"/>
    <n v="3"/>
    <n v="26"/>
    <n v="4"/>
    <n v="50"/>
    <x v="1"/>
    <n v="114"/>
    <n v="50"/>
    <n v="50"/>
    <n v="0"/>
    <n v="0.02631578947368421"/>
    <n v="0.5350877192982456"/>
    <x v="1"/>
    <x v="0"/>
  </r>
  <r>
    <x v="113"/>
    <x v="2"/>
    <x v="2"/>
    <x v="13"/>
    <x v="13"/>
    <x v="13"/>
    <n v="121"/>
    <n v="78"/>
    <n v="82"/>
    <n v="2"/>
    <n v="18"/>
    <n v="5"/>
    <n v="115"/>
    <x v="1"/>
    <n v="199"/>
    <n v="115"/>
    <n v="115"/>
    <n v="0"/>
    <n v="0.01005025125628141"/>
    <n v="0.4120603015075377"/>
    <x v="1"/>
    <x v="0"/>
  </r>
  <r>
    <x v="114"/>
    <x v="2"/>
    <x v="2"/>
    <x v="14"/>
    <x v="14"/>
    <x v="14"/>
    <n v="132"/>
    <n v="83"/>
    <n v="105"/>
    <n v="1"/>
    <n v="27"/>
    <n v="4"/>
    <n v="109"/>
    <x v="1"/>
    <n v="215"/>
    <n v="109"/>
    <n v="109"/>
    <n v="0"/>
    <n v="0.004651162790697674"/>
    <n v="0.4883720930232558"/>
    <x v="1"/>
    <x v="0"/>
  </r>
  <r>
    <x v="115"/>
    <x v="2"/>
    <x v="2"/>
    <x v="15"/>
    <x v="15"/>
    <x v="0"/>
    <n v="54"/>
    <n v="42"/>
    <n v="115"/>
    <n v="2"/>
    <n v="37"/>
    <n v="5"/>
    <n v="0"/>
    <x v="0"/>
    <n v="96"/>
    <n v="-21"/>
    <n v="0"/>
    <n v="21"/>
    <n v="0.02083333333333333"/>
    <n v="1.197916666666667"/>
    <x v="0"/>
    <x v="0"/>
  </r>
  <r>
    <x v="116"/>
    <x v="2"/>
    <x v="2"/>
    <x v="16"/>
    <x v="16"/>
    <x v="1"/>
    <n v="62"/>
    <n v="57"/>
    <n v="31"/>
    <n v="0"/>
    <n v="27"/>
    <n v="5"/>
    <n v="88"/>
    <x v="1"/>
    <n v="119"/>
    <n v="88"/>
    <n v="88"/>
    <n v="0"/>
    <n v="0"/>
    <n v="0.2605042016806723"/>
    <x v="1"/>
    <x v="0"/>
  </r>
  <r>
    <x v="117"/>
    <x v="2"/>
    <x v="2"/>
    <x v="17"/>
    <x v="17"/>
    <x v="2"/>
    <n v="63"/>
    <n v="100"/>
    <n v="37"/>
    <n v="0"/>
    <n v="39"/>
    <n v="3"/>
    <n v="126"/>
    <x v="1"/>
    <n v="163"/>
    <n v="126"/>
    <n v="126"/>
    <n v="0"/>
    <n v="0"/>
    <n v="0.2269938650306748"/>
    <x v="1"/>
    <x v="0"/>
  </r>
  <r>
    <x v="118"/>
    <x v="2"/>
    <x v="2"/>
    <x v="18"/>
    <x v="18"/>
    <x v="3"/>
    <n v="138"/>
    <n v="34"/>
    <n v="86"/>
    <n v="3"/>
    <n v="37"/>
    <n v="1"/>
    <n v="83"/>
    <x v="1"/>
    <n v="172"/>
    <n v="83"/>
    <n v="83"/>
    <n v="0"/>
    <n v="0.01744186046511628"/>
    <n v="0.5"/>
    <x v="1"/>
    <x v="0"/>
  </r>
  <r>
    <x v="119"/>
    <x v="2"/>
    <x v="2"/>
    <x v="19"/>
    <x v="19"/>
    <x v="4"/>
    <n v="113"/>
    <n v="78"/>
    <n v="123"/>
    <n v="1"/>
    <n v="35"/>
    <n v="3"/>
    <n v="67"/>
    <x v="1"/>
    <n v="191"/>
    <n v="67"/>
    <n v="67"/>
    <n v="0"/>
    <n v="0.005235602094240838"/>
    <n v="0.643979057591623"/>
    <x v="1"/>
    <x v="0"/>
  </r>
  <r>
    <x v="120"/>
    <x v="2"/>
    <x v="2"/>
    <x v="20"/>
    <x v="20"/>
    <x v="5"/>
    <n v="113"/>
    <n v="23"/>
    <n v="101"/>
    <n v="1"/>
    <n v="30"/>
    <n v="2"/>
    <n v="34"/>
    <x v="1"/>
    <n v="136"/>
    <n v="34"/>
    <n v="34"/>
    <n v="0"/>
    <n v="0.007352941176470588"/>
    <n v="0.7426470588235294"/>
    <x v="1"/>
    <x v="0"/>
  </r>
  <r>
    <x v="121"/>
    <x v="2"/>
    <x v="2"/>
    <x v="21"/>
    <x v="21"/>
    <x v="6"/>
    <n v="99"/>
    <n v="99"/>
    <n v="80"/>
    <n v="2"/>
    <n v="23"/>
    <n v="1"/>
    <n v="116"/>
    <x v="1"/>
    <n v="198"/>
    <n v="116"/>
    <n v="116"/>
    <n v="0"/>
    <n v="0.0101010101010101"/>
    <n v="0.404040404040404"/>
    <x v="1"/>
    <x v="0"/>
  </r>
  <r>
    <x v="122"/>
    <x v="2"/>
    <x v="2"/>
    <x v="22"/>
    <x v="22"/>
    <x v="7"/>
    <n v="45"/>
    <n v="44"/>
    <n v="34"/>
    <n v="3"/>
    <n v="39"/>
    <n v="1"/>
    <n v="52"/>
    <x v="1"/>
    <n v="89"/>
    <n v="52"/>
    <n v="52"/>
    <n v="0"/>
    <n v="0.03370786516853932"/>
    <n v="0.3820224719101123"/>
    <x v="1"/>
    <x v="0"/>
  </r>
  <r>
    <x v="123"/>
    <x v="2"/>
    <x v="2"/>
    <x v="23"/>
    <x v="23"/>
    <x v="8"/>
    <n v="140"/>
    <n v="68"/>
    <n v="76"/>
    <n v="0"/>
    <n v="37"/>
    <n v="2"/>
    <n v="132"/>
    <x v="1"/>
    <n v="208"/>
    <n v="132"/>
    <n v="132"/>
    <n v="0"/>
    <n v="0"/>
    <n v="0.3653846153846154"/>
    <x v="1"/>
    <x v="0"/>
  </r>
  <r>
    <x v="124"/>
    <x v="2"/>
    <x v="2"/>
    <x v="24"/>
    <x v="24"/>
    <x v="9"/>
    <n v="145"/>
    <n v="26"/>
    <n v="52"/>
    <n v="3"/>
    <n v="15"/>
    <n v="2"/>
    <n v="116"/>
    <x v="1"/>
    <n v="171"/>
    <n v="116"/>
    <n v="116"/>
    <n v="0"/>
    <n v="0.01754385964912281"/>
    <n v="0.304093567251462"/>
    <x v="1"/>
    <x v="0"/>
  </r>
  <r>
    <x v="125"/>
    <x v="2"/>
    <x v="2"/>
    <x v="25"/>
    <x v="25"/>
    <x v="10"/>
    <n v="97"/>
    <n v="49"/>
    <n v="94"/>
    <n v="1"/>
    <n v="21"/>
    <n v="1"/>
    <n v="51"/>
    <x v="1"/>
    <n v="146"/>
    <n v="51"/>
    <n v="51"/>
    <n v="0"/>
    <n v="0.00684931506849315"/>
    <n v="0.6438356164383562"/>
    <x v="1"/>
    <x v="0"/>
  </r>
  <r>
    <x v="126"/>
    <x v="2"/>
    <x v="2"/>
    <x v="26"/>
    <x v="26"/>
    <x v="11"/>
    <n v="128"/>
    <n v="91"/>
    <n v="66"/>
    <n v="2"/>
    <n v="30"/>
    <n v="2"/>
    <n v="151"/>
    <x v="1"/>
    <n v="219"/>
    <n v="151"/>
    <n v="151"/>
    <n v="0"/>
    <n v="0.0091324200913242"/>
    <n v="0.3013698630136986"/>
    <x v="1"/>
    <x v="0"/>
  </r>
  <r>
    <x v="127"/>
    <x v="2"/>
    <x v="2"/>
    <x v="27"/>
    <x v="27"/>
    <x v="12"/>
    <n v="135"/>
    <n v="44"/>
    <n v="123"/>
    <n v="1"/>
    <n v="20"/>
    <n v="2"/>
    <n v="55"/>
    <x v="1"/>
    <n v="179"/>
    <n v="55"/>
    <n v="55"/>
    <n v="0"/>
    <n v="0.00558659217877095"/>
    <n v="0.6871508379888268"/>
    <x v="1"/>
    <x v="0"/>
  </r>
  <r>
    <x v="128"/>
    <x v="2"/>
    <x v="2"/>
    <x v="28"/>
    <x v="28"/>
    <x v="13"/>
    <n v="93"/>
    <n v="28"/>
    <n v="46"/>
    <n v="3"/>
    <n v="39"/>
    <n v="5"/>
    <n v="72"/>
    <x v="1"/>
    <n v="121"/>
    <n v="72"/>
    <n v="72"/>
    <n v="0"/>
    <n v="0.02479338842975207"/>
    <n v="0.3801652892561984"/>
    <x v="1"/>
    <x v="0"/>
  </r>
  <r>
    <x v="129"/>
    <x v="2"/>
    <x v="2"/>
    <x v="29"/>
    <x v="29"/>
    <x v="14"/>
    <n v="141"/>
    <n v="61"/>
    <n v="82"/>
    <n v="8"/>
    <n v="39"/>
    <n v="4"/>
    <n v="112"/>
    <x v="1"/>
    <n v="202"/>
    <n v="112"/>
    <n v="112"/>
    <n v="0"/>
    <n v="0.0396039603960396"/>
    <n v="0.405940594059406"/>
    <x v="1"/>
    <x v="0"/>
  </r>
  <r>
    <x v="130"/>
    <x v="2"/>
    <x v="2"/>
    <x v="30"/>
    <x v="30"/>
    <x v="0"/>
    <n v="110"/>
    <n v="97"/>
    <n v="123"/>
    <n v="5"/>
    <n v="31"/>
    <n v="3"/>
    <n v="79"/>
    <x v="1"/>
    <n v="207"/>
    <n v="79"/>
    <n v="79"/>
    <n v="0"/>
    <n v="0.02415458937198068"/>
    <n v="0.5942028985507246"/>
    <x v="1"/>
    <x v="0"/>
  </r>
  <r>
    <x v="131"/>
    <x v="2"/>
    <x v="2"/>
    <x v="31"/>
    <x v="31"/>
    <x v="1"/>
    <n v="120"/>
    <n v="61"/>
    <n v="138"/>
    <n v="5"/>
    <n v="32"/>
    <n v="1"/>
    <n v="38"/>
    <x v="1"/>
    <n v="181"/>
    <n v="38"/>
    <n v="38"/>
    <n v="0"/>
    <n v="0.02762430939226519"/>
    <n v="0.7624309392265194"/>
    <x v="1"/>
    <x v="0"/>
  </r>
  <r>
    <x v="132"/>
    <x v="2"/>
    <x v="2"/>
    <x v="32"/>
    <x v="32"/>
    <x v="2"/>
    <n v="135"/>
    <n v="55"/>
    <n v="47"/>
    <n v="8"/>
    <n v="17"/>
    <n v="3"/>
    <n v="135"/>
    <x v="1"/>
    <n v="190"/>
    <n v="135"/>
    <n v="135"/>
    <n v="0"/>
    <n v="0.04210526315789474"/>
    <n v="0.2473684210526316"/>
    <x v="1"/>
    <x v="0"/>
  </r>
  <r>
    <x v="133"/>
    <x v="2"/>
    <x v="2"/>
    <x v="33"/>
    <x v="33"/>
    <x v="3"/>
    <n v="77"/>
    <n v="22"/>
    <n v="37"/>
    <n v="6"/>
    <n v="30"/>
    <n v="2"/>
    <n v="56"/>
    <x v="1"/>
    <n v="99"/>
    <n v="56"/>
    <n v="56"/>
    <n v="0"/>
    <n v="0.06060606060606061"/>
    <n v="0.3737373737373738"/>
    <x v="1"/>
    <x v="0"/>
  </r>
  <r>
    <x v="134"/>
    <x v="2"/>
    <x v="2"/>
    <x v="34"/>
    <x v="34"/>
    <x v="4"/>
    <n v="143"/>
    <n v="73"/>
    <n v="111"/>
    <n v="6"/>
    <n v="39"/>
    <n v="3"/>
    <n v="99"/>
    <x v="1"/>
    <n v="216"/>
    <n v="99"/>
    <n v="99"/>
    <n v="0"/>
    <n v="0.02777777777777778"/>
    <n v="0.5138888888888888"/>
    <x v="1"/>
    <x v="0"/>
  </r>
  <r>
    <x v="135"/>
    <x v="2"/>
    <x v="2"/>
    <x v="35"/>
    <x v="35"/>
    <x v="5"/>
    <n v="53"/>
    <n v="68"/>
    <n v="50"/>
    <n v="4"/>
    <n v="34"/>
    <n v="5"/>
    <n v="67"/>
    <x v="1"/>
    <n v="121"/>
    <n v="67"/>
    <n v="67"/>
    <n v="0"/>
    <n v="0.03305785123966942"/>
    <n v="0.4132231404958678"/>
    <x v="1"/>
    <x v="0"/>
  </r>
  <r>
    <x v="136"/>
    <x v="2"/>
    <x v="2"/>
    <x v="36"/>
    <x v="36"/>
    <x v="6"/>
    <n v="63"/>
    <n v="76"/>
    <n v="105"/>
    <n v="3"/>
    <n v="16"/>
    <n v="1"/>
    <n v="31"/>
    <x v="1"/>
    <n v="139"/>
    <n v="31"/>
    <n v="31"/>
    <n v="0"/>
    <n v="0.02158273381294964"/>
    <n v="0.7553956834532374"/>
    <x v="1"/>
    <x v="0"/>
  </r>
  <r>
    <x v="137"/>
    <x v="2"/>
    <x v="2"/>
    <x v="37"/>
    <x v="37"/>
    <x v="7"/>
    <n v="146"/>
    <n v="24"/>
    <n v="98"/>
    <n v="4"/>
    <n v="40"/>
    <n v="3"/>
    <n v="68"/>
    <x v="1"/>
    <n v="170"/>
    <n v="68"/>
    <n v="68"/>
    <n v="0"/>
    <n v="0.02352941176470588"/>
    <n v="0.5764705882352941"/>
    <x v="1"/>
    <x v="0"/>
  </r>
  <r>
    <x v="138"/>
    <x v="2"/>
    <x v="2"/>
    <x v="38"/>
    <x v="38"/>
    <x v="8"/>
    <n v="101"/>
    <n v="58"/>
    <n v="100"/>
    <n v="6"/>
    <n v="15"/>
    <n v="2"/>
    <n v="53"/>
    <x v="1"/>
    <n v="159"/>
    <n v="53"/>
    <n v="53"/>
    <n v="0"/>
    <n v="0.03773584905660377"/>
    <n v="0.6289308176100629"/>
    <x v="1"/>
    <x v="0"/>
  </r>
  <r>
    <x v="139"/>
    <x v="2"/>
    <x v="2"/>
    <x v="39"/>
    <x v="39"/>
    <x v="9"/>
    <n v="47"/>
    <n v="42"/>
    <n v="96"/>
    <n v="4"/>
    <n v="40"/>
    <n v="4"/>
    <n v="0"/>
    <x v="0"/>
    <n v="89"/>
    <n v="-11"/>
    <n v="0"/>
    <n v="11"/>
    <n v="0.0449438202247191"/>
    <n v="1.078651685393258"/>
    <x v="0"/>
    <x v="0"/>
  </r>
  <r>
    <x v="140"/>
    <x v="2"/>
    <x v="2"/>
    <x v="40"/>
    <x v="40"/>
    <x v="10"/>
    <n v="70"/>
    <n v="36"/>
    <n v="82"/>
    <n v="1"/>
    <n v="32"/>
    <n v="2"/>
    <n v="23"/>
    <x v="0"/>
    <n v="106"/>
    <n v="23"/>
    <n v="23"/>
    <n v="0"/>
    <n v="0.009433962264150943"/>
    <n v="0.7735849056603774"/>
    <x v="0"/>
    <x v="0"/>
  </r>
  <r>
    <x v="141"/>
    <x v="2"/>
    <x v="2"/>
    <x v="41"/>
    <x v="41"/>
    <x v="11"/>
    <n v="76"/>
    <n v="38"/>
    <n v="117"/>
    <n v="0"/>
    <n v="26"/>
    <n v="3"/>
    <n v="0"/>
    <x v="0"/>
    <n v="114"/>
    <n v="-3"/>
    <n v="0"/>
    <n v="3"/>
    <n v="0"/>
    <n v="1.026315789473684"/>
    <x v="0"/>
    <x v="0"/>
  </r>
  <r>
    <x v="142"/>
    <x v="2"/>
    <x v="2"/>
    <x v="42"/>
    <x v="42"/>
    <x v="12"/>
    <n v="125"/>
    <n v="30"/>
    <n v="43"/>
    <n v="2"/>
    <n v="22"/>
    <n v="5"/>
    <n v="110"/>
    <x v="1"/>
    <n v="155"/>
    <n v="110"/>
    <n v="110"/>
    <n v="0"/>
    <n v="0.01290322580645161"/>
    <n v="0.2774193548387097"/>
    <x v="1"/>
    <x v="0"/>
  </r>
  <r>
    <x v="143"/>
    <x v="2"/>
    <x v="2"/>
    <x v="43"/>
    <x v="43"/>
    <x v="13"/>
    <n v="73"/>
    <n v="55"/>
    <n v="129"/>
    <n v="3"/>
    <n v="23"/>
    <n v="1"/>
    <n v="0"/>
    <x v="0"/>
    <n v="128"/>
    <n v="-4"/>
    <n v="0"/>
    <n v="4"/>
    <n v="0.0234375"/>
    <n v="1.0078125"/>
    <x v="0"/>
    <x v="0"/>
  </r>
  <r>
    <x v="144"/>
    <x v="2"/>
    <x v="2"/>
    <x v="44"/>
    <x v="44"/>
    <x v="14"/>
    <n v="91"/>
    <n v="39"/>
    <n v="72"/>
    <n v="1"/>
    <n v="38"/>
    <n v="5"/>
    <n v="57"/>
    <x v="1"/>
    <n v="130"/>
    <n v="57"/>
    <n v="57"/>
    <n v="0"/>
    <n v="0.007692307692307693"/>
    <n v="0.5538461538461539"/>
    <x v="1"/>
    <x v="0"/>
  </r>
  <r>
    <x v="145"/>
    <x v="2"/>
    <x v="2"/>
    <x v="45"/>
    <x v="45"/>
    <x v="0"/>
    <n v="118"/>
    <n v="68"/>
    <n v="67"/>
    <n v="1"/>
    <n v="25"/>
    <n v="1"/>
    <n v="118"/>
    <x v="1"/>
    <n v="186"/>
    <n v="118"/>
    <n v="118"/>
    <n v="0"/>
    <n v="0.005376344086021506"/>
    <n v="0.3602150537634409"/>
    <x v="1"/>
    <x v="0"/>
  </r>
  <r>
    <x v="146"/>
    <x v="2"/>
    <x v="2"/>
    <x v="46"/>
    <x v="46"/>
    <x v="1"/>
    <n v="85"/>
    <n v="20"/>
    <n v="137"/>
    <n v="0"/>
    <n v="18"/>
    <n v="3"/>
    <n v="0"/>
    <x v="0"/>
    <n v="105"/>
    <n v="-32"/>
    <n v="0"/>
    <n v="32"/>
    <n v="0"/>
    <n v="1.304761904761905"/>
    <x v="0"/>
    <x v="0"/>
  </r>
  <r>
    <x v="147"/>
    <x v="2"/>
    <x v="2"/>
    <x v="47"/>
    <x v="47"/>
    <x v="2"/>
    <n v="143"/>
    <n v="42"/>
    <n v="68"/>
    <n v="1"/>
    <n v="31"/>
    <n v="5"/>
    <n v="116"/>
    <x v="1"/>
    <n v="185"/>
    <n v="116"/>
    <n v="116"/>
    <n v="0"/>
    <n v="0.005405405405405406"/>
    <n v="0.3675675675675676"/>
    <x v="1"/>
    <x v="0"/>
  </r>
  <r>
    <x v="148"/>
    <x v="2"/>
    <x v="2"/>
    <x v="48"/>
    <x v="48"/>
    <x v="3"/>
    <n v="114"/>
    <n v="71"/>
    <n v="74"/>
    <n v="1"/>
    <n v="40"/>
    <n v="4"/>
    <n v="110"/>
    <x v="1"/>
    <n v="185"/>
    <n v="110"/>
    <n v="110"/>
    <n v="0"/>
    <n v="0.005405405405405406"/>
    <n v="0.4"/>
    <x v="1"/>
    <x v="0"/>
  </r>
  <r>
    <x v="149"/>
    <x v="2"/>
    <x v="2"/>
    <x v="49"/>
    <x v="49"/>
    <x v="4"/>
    <n v="97"/>
    <n v="39"/>
    <n v="58"/>
    <n v="2"/>
    <n v="22"/>
    <n v="1"/>
    <n v="76"/>
    <x v="1"/>
    <n v="136"/>
    <n v="76"/>
    <n v="76"/>
    <n v="0"/>
    <n v="0.01470588235294118"/>
    <n v="0.4264705882352941"/>
    <x v="1"/>
    <x v="0"/>
  </r>
  <r>
    <x v="150"/>
    <x v="3"/>
    <x v="3"/>
    <x v="0"/>
    <x v="0"/>
    <x v="0"/>
    <n v="141"/>
    <n v="83"/>
    <n v="67"/>
    <n v="3"/>
    <n v="36"/>
    <n v="2"/>
    <n v="154"/>
    <x v="1"/>
    <n v="224"/>
    <n v="154"/>
    <n v="154"/>
    <n v="0"/>
    <n v="0.01339285714285714"/>
    <n v="0.2991071428571428"/>
    <x v="1"/>
    <x v="0"/>
  </r>
  <r>
    <x v="151"/>
    <x v="3"/>
    <x v="3"/>
    <x v="1"/>
    <x v="1"/>
    <x v="1"/>
    <n v="108"/>
    <n v="93"/>
    <n v="52"/>
    <n v="1"/>
    <n v="37"/>
    <n v="3"/>
    <n v="148"/>
    <x v="1"/>
    <n v="201"/>
    <n v="148"/>
    <n v="148"/>
    <n v="0"/>
    <n v="0.004975124378109453"/>
    <n v="0.2587064676616915"/>
    <x v="1"/>
    <x v="0"/>
  </r>
  <r>
    <x v="152"/>
    <x v="3"/>
    <x v="3"/>
    <x v="2"/>
    <x v="2"/>
    <x v="2"/>
    <n v="59"/>
    <n v="71"/>
    <n v="136"/>
    <n v="1"/>
    <n v="25"/>
    <n v="2"/>
    <n v="0"/>
    <x v="0"/>
    <n v="130"/>
    <n v="-7"/>
    <n v="0"/>
    <n v="7"/>
    <n v="0.007692307692307693"/>
    <n v="1.046153846153846"/>
    <x v="0"/>
    <x v="0"/>
  </r>
  <r>
    <x v="153"/>
    <x v="3"/>
    <x v="3"/>
    <x v="3"/>
    <x v="3"/>
    <x v="3"/>
    <n v="94"/>
    <n v="99"/>
    <n v="109"/>
    <n v="2"/>
    <n v="19"/>
    <n v="5"/>
    <n v="82"/>
    <x v="1"/>
    <n v="193"/>
    <n v="82"/>
    <n v="82"/>
    <n v="0"/>
    <n v="0.01036269430051814"/>
    <n v="0.5647668393782384"/>
    <x v="1"/>
    <x v="0"/>
  </r>
  <r>
    <x v="154"/>
    <x v="3"/>
    <x v="3"/>
    <x v="4"/>
    <x v="4"/>
    <x v="4"/>
    <n v="103"/>
    <n v="53"/>
    <n v="89"/>
    <n v="1"/>
    <n v="29"/>
    <n v="5"/>
    <n v="66"/>
    <x v="1"/>
    <n v="156"/>
    <n v="66"/>
    <n v="66"/>
    <n v="0"/>
    <n v="0.00641025641025641"/>
    <n v="0.5705128205128205"/>
    <x v="1"/>
    <x v="0"/>
  </r>
  <r>
    <x v="155"/>
    <x v="3"/>
    <x v="3"/>
    <x v="5"/>
    <x v="5"/>
    <x v="5"/>
    <n v="71"/>
    <n v="24"/>
    <n v="111"/>
    <n v="0"/>
    <n v="35"/>
    <n v="3"/>
    <n v="0"/>
    <x v="0"/>
    <n v="95"/>
    <n v="-16"/>
    <n v="0"/>
    <n v="16"/>
    <n v="0"/>
    <n v="1.168421052631579"/>
    <x v="0"/>
    <x v="0"/>
  </r>
  <r>
    <x v="156"/>
    <x v="3"/>
    <x v="3"/>
    <x v="6"/>
    <x v="6"/>
    <x v="6"/>
    <n v="124"/>
    <n v="84"/>
    <n v="135"/>
    <n v="3"/>
    <n v="16"/>
    <n v="3"/>
    <n v="70"/>
    <x v="1"/>
    <n v="208"/>
    <n v="70"/>
    <n v="70"/>
    <n v="0"/>
    <n v="0.01442307692307692"/>
    <n v="0.6490384615384616"/>
    <x v="1"/>
    <x v="0"/>
  </r>
  <r>
    <x v="157"/>
    <x v="3"/>
    <x v="3"/>
    <x v="7"/>
    <x v="7"/>
    <x v="7"/>
    <n v="113"/>
    <n v="54"/>
    <n v="121"/>
    <n v="0"/>
    <n v="37"/>
    <n v="2"/>
    <n v="46"/>
    <x v="1"/>
    <n v="167"/>
    <n v="46"/>
    <n v="46"/>
    <n v="0"/>
    <n v="0"/>
    <n v="0.7245508982035929"/>
    <x v="1"/>
    <x v="0"/>
  </r>
  <r>
    <x v="158"/>
    <x v="3"/>
    <x v="3"/>
    <x v="8"/>
    <x v="8"/>
    <x v="8"/>
    <n v="146"/>
    <n v="58"/>
    <n v="79"/>
    <n v="1"/>
    <n v="26"/>
    <n v="3"/>
    <n v="124"/>
    <x v="1"/>
    <n v="204"/>
    <n v="124"/>
    <n v="124"/>
    <n v="0"/>
    <n v="0.004901960784313725"/>
    <n v="0.3872549019607843"/>
    <x v="1"/>
    <x v="0"/>
  </r>
  <r>
    <x v="159"/>
    <x v="3"/>
    <x v="3"/>
    <x v="9"/>
    <x v="9"/>
    <x v="9"/>
    <n v="53"/>
    <n v="42"/>
    <n v="80"/>
    <n v="2"/>
    <n v="20"/>
    <n v="5"/>
    <n v="13"/>
    <x v="0"/>
    <n v="95"/>
    <n v="13"/>
    <n v="13"/>
    <n v="0"/>
    <n v="0.02105263157894737"/>
    <n v="0.8421052631578947"/>
    <x v="0"/>
    <x v="0"/>
  </r>
  <r>
    <x v="160"/>
    <x v="3"/>
    <x v="3"/>
    <x v="10"/>
    <x v="10"/>
    <x v="10"/>
    <n v="131"/>
    <n v="78"/>
    <n v="47"/>
    <n v="0"/>
    <n v="31"/>
    <n v="2"/>
    <n v="162"/>
    <x v="1"/>
    <n v="209"/>
    <n v="162"/>
    <n v="162"/>
    <n v="0"/>
    <n v="0"/>
    <n v="0.2248803827751196"/>
    <x v="1"/>
    <x v="0"/>
  </r>
  <r>
    <x v="161"/>
    <x v="3"/>
    <x v="3"/>
    <x v="11"/>
    <x v="11"/>
    <x v="11"/>
    <n v="53"/>
    <n v="48"/>
    <n v="49"/>
    <n v="3"/>
    <n v="16"/>
    <n v="5"/>
    <n v="49"/>
    <x v="1"/>
    <n v="101"/>
    <n v="49"/>
    <n v="49"/>
    <n v="0"/>
    <n v="0.0297029702970297"/>
    <n v="0.4851485148514851"/>
    <x v="1"/>
    <x v="0"/>
  </r>
  <r>
    <x v="162"/>
    <x v="3"/>
    <x v="3"/>
    <x v="12"/>
    <x v="12"/>
    <x v="12"/>
    <n v="133"/>
    <n v="47"/>
    <n v="127"/>
    <n v="0"/>
    <n v="38"/>
    <n v="5"/>
    <n v="53"/>
    <x v="1"/>
    <n v="180"/>
    <n v="53"/>
    <n v="53"/>
    <n v="0"/>
    <n v="0"/>
    <n v="0.7055555555555556"/>
    <x v="1"/>
    <x v="0"/>
  </r>
  <r>
    <x v="163"/>
    <x v="3"/>
    <x v="3"/>
    <x v="13"/>
    <x v="13"/>
    <x v="13"/>
    <n v="102"/>
    <n v="37"/>
    <n v="86"/>
    <n v="3"/>
    <n v="37"/>
    <n v="5"/>
    <n v="50"/>
    <x v="1"/>
    <n v="139"/>
    <n v="50"/>
    <n v="50"/>
    <n v="0"/>
    <n v="0.02158273381294964"/>
    <n v="0.6187050359712231"/>
    <x v="1"/>
    <x v="0"/>
  </r>
  <r>
    <x v="164"/>
    <x v="3"/>
    <x v="3"/>
    <x v="14"/>
    <x v="14"/>
    <x v="14"/>
    <n v="93"/>
    <n v="30"/>
    <n v="80"/>
    <n v="1"/>
    <n v="26"/>
    <n v="4"/>
    <n v="42"/>
    <x v="1"/>
    <n v="123"/>
    <n v="42"/>
    <n v="42"/>
    <n v="0"/>
    <n v="0.008130081300813009"/>
    <n v="0.6504065040650406"/>
    <x v="1"/>
    <x v="0"/>
  </r>
  <r>
    <x v="165"/>
    <x v="3"/>
    <x v="3"/>
    <x v="15"/>
    <x v="15"/>
    <x v="0"/>
    <n v="83"/>
    <n v="61"/>
    <n v="133"/>
    <n v="3"/>
    <n v="30"/>
    <n v="1"/>
    <n v="8"/>
    <x v="0"/>
    <n v="144"/>
    <n v="8"/>
    <n v="8"/>
    <n v="0"/>
    <n v="0.02083333333333333"/>
    <n v="0.9236111111111112"/>
    <x v="0"/>
    <x v="0"/>
  </r>
  <r>
    <x v="166"/>
    <x v="3"/>
    <x v="3"/>
    <x v="16"/>
    <x v="16"/>
    <x v="1"/>
    <n v="70"/>
    <n v="52"/>
    <n v="140"/>
    <n v="1"/>
    <n v="27"/>
    <n v="5"/>
    <n v="0"/>
    <x v="0"/>
    <n v="122"/>
    <n v="-19"/>
    <n v="0"/>
    <n v="19"/>
    <n v="0.00819672131147541"/>
    <n v="1.147540983606557"/>
    <x v="0"/>
    <x v="0"/>
  </r>
  <r>
    <x v="167"/>
    <x v="3"/>
    <x v="3"/>
    <x v="17"/>
    <x v="17"/>
    <x v="2"/>
    <n v="50"/>
    <n v="90"/>
    <n v="53"/>
    <n v="0"/>
    <n v="32"/>
    <n v="4"/>
    <n v="87"/>
    <x v="1"/>
    <n v="140"/>
    <n v="87"/>
    <n v="87"/>
    <n v="0"/>
    <n v="0"/>
    <n v="0.3785714285714286"/>
    <x v="1"/>
    <x v="0"/>
  </r>
  <r>
    <x v="168"/>
    <x v="3"/>
    <x v="3"/>
    <x v="18"/>
    <x v="18"/>
    <x v="3"/>
    <n v="78"/>
    <n v="58"/>
    <n v="120"/>
    <n v="2"/>
    <n v="35"/>
    <n v="4"/>
    <n v="14"/>
    <x v="0"/>
    <n v="136"/>
    <n v="14"/>
    <n v="14"/>
    <n v="0"/>
    <n v="0.01470588235294118"/>
    <n v="0.8823529411764706"/>
    <x v="0"/>
    <x v="0"/>
  </r>
  <r>
    <x v="169"/>
    <x v="3"/>
    <x v="3"/>
    <x v="19"/>
    <x v="19"/>
    <x v="4"/>
    <n v="68"/>
    <n v="70"/>
    <n v="131"/>
    <n v="0"/>
    <n v="38"/>
    <n v="5"/>
    <n v="7"/>
    <x v="0"/>
    <n v="138"/>
    <n v="7"/>
    <n v="7"/>
    <n v="0"/>
    <n v="0"/>
    <n v="0.9492753623188406"/>
    <x v="0"/>
    <x v="0"/>
  </r>
  <r>
    <x v="170"/>
    <x v="3"/>
    <x v="3"/>
    <x v="20"/>
    <x v="20"/>
    <x v="5"/>
    <n v="96"/>
    <n v="58"/>
    <n v="48"/>
    <n v="1"/>
    <n v="23"/>
    <n v="2"/>
    <n v="105"/>
    <x v="1"/>
    <n v="154"/>
    <n v="105"/>
    <n v="105"/>
    <n v="0"/>
    <n v="0.006493506493506494"/>
    <n v="0.3116883116883117"/>
    <x v="1"/>
    <x v="0"/>
  </r>
  <r>
    <x v="171"/>
    <x v="3"/>
    <x v="3"/>
    <x v="21"/>
    <x v="21"/>
    <x v="6"/>
    <n v="66"/>
    <n v="59"/>
    <n v="89"/>
    <n v="0"/>
    <n v="18"/>
    <n v="1"/>
    <n v="36"/>
    <x v="1"/>
    <n v="125"/>
    <n v="36"/>
    <n v="36"/>
    <n v="0"/>
    <n v="0"/>
    <n v="0.712"/>
    <x v="1"/>
    <x v="0"/>
  </r>
  <r>
    <x v="172"/>
    <x v="3"/>
    <x v="3"/>
    <x v="22"/>
    <x v="22"/>
    <x v="7"/>
    <n v="46"/>
    <n v="47"/>
    <n v="91"/>
    <n v="1"/>
    <n v="36"/>
    <n v="3"/>
    <n v="1"/>
    <x v="0"/>
    <n v="93"/>
    <n v="1"/>
    <n v="1"/>
    <n v="0"/>
    <n v="0.01075268817204301"/>
    <n v="0.978494623655914"/>
    <x v="0"/>
    <x v="0"/>
  </r>
  <r>
    <x v="173"/>
    <x v="3"/>
    <x v="3"/>
    <x v="23"/>
    <x v="23"/>
    <x v="8"/>
    <n v="53"/>
    <n v="87"/>
    <n v="78"/>
    <n v="0"/>
    <n v="32"/>
    <n v="2"/>
    <n v="62"/>
    <x v="1"/>
    <n v="140"/>
    <n v="62"/>
    <n v="62"/>
    <n v="0"/>
    <n v="0"/>
    <n v="0.5571428571428572"/>
    <x v="1"/>
    <x v="0"/>
  </r>
  <r>
    <x v="174"/>
    <x v="3"/>
    <x v="3"/>
    <x v="24"/>
    <x v="24"/>
    <x v="9"/>
    <n v="111"/>
    <n v="22"/>
    <n v="114"/>
    <n v="3"/>
    <n v="21"/>
    <n v="3"/>
    <n v="16"/>
    <x v="0"/>
    <n v="133"/>
    <n v="16"/>
    <n v="16"/>
    <n v="0"/>
    <n v="0.02255639097744361"/>
    <n v="0.8571428571428571"/>
    <x v="0"/>
    <x v="0"/>
  </r>
  <r>
    <x v="175"/>
    <x v="3"/>
    <x v="3"/>
    <x v="25"/>
    <x v="25"/>
    <x v="10"/>
    <n v="53"/>
    <n v="90"/>
    <n v="130"/>
    <n v="1"/>
    <n v="27"/>
    <n v="4"/>
    <n v="12"/>
    <x v="0"/>
    <n v="143"/>
    <n v="12"/>
    <n v="12"/>
    <n v="0"/>
    <n v="0.006993006993006993"/>
    <n v="0.9090909090909091"/>
    <x v="0"/>
    <x v="0"/>
  </r>
  <r>
    <x v="176"/>
    <x v="3"/>
    <x v="3"/>
    <x v="26"/>
    <x v="26"/>
    <x v="11"/>
    <n v="76"/>
    <n v="43"/>
    <n v="77"/>
    <n v="3"/>
    <n v="38"/>
    <n v="3"/>
    <n v="39"/>
    <x v="1"/>
    <n v="119"/>
    <n v="39"/>
    <n v="39"/>
    <n v="0"/>
    <n v="0.02521008403361345"/>
    <n v="0.6470588235294118"/>
    <x v="1"/>
    <x v="0"/>
  </r>
  <r>
    <x v="177"/>
    <x v="3"/>
    <x v="3"/>
    <x v="27"/>
    <x v="27"/>
    <x v="12"/>
    <n v="136"/>
    <n v="57"/>
    <n v="69"/>
    <n v="1"/>
    <n v="38"/>
    <n v="2"/>
    <n v="123"/>
    <x v="1"/>
    <n v="193"/>
    <n v="123"/>
    <n v="123"/>
    <n v="0"/>
    <n v="0.005181347150259068"/>
    <n v="0.3575129533678756"/>
    <x v="1"/>
    <x v="0"/>
  </r>
  <r>
    <x v="178"/>
    <x v="3"/>
    <x v="3"/>
    <x v="28"/>
    <x v="28"/>
    <x v="13"/>
    <n v="144"/>
    <n v="94"/>
    <n v="75"/>
    <n v="2"/>
    <n v="23"/>
    <n v="4"/>
    <n v="161"/>
    <x v="1"/>
    <n v="238"/>
    <n v="161"/>
    <n v="161"/>
    <n v="0"/>
    <n v="0.008403361344537815"/>
    <n v="0.3151260504201681"/>
    <x v="1"/>
    <x v="0"/>
  </r>
  <r>
    <x v="179"/>
    <x v="3"/>
    <x v="3"/>
    <x v="29"/>
    <x v="29"/>
    <x v="14"/>
    <n v="104"/>
    <n v="59"/>
    <n v="47"/>
    <n v="4"/>
    <n v="23"/>
    <n v="2"/>
    <n v="112"/>
    <x v="1"/>
    <n v="163"/>
    <n v="112"/>
    <n v="112"/>
    <n v="0"/>
    <n v="0.0245398773006135"/>
    <n v="0.2883435582822086"/>
    <x v="1"/>
    <x v="0"/>
  </r>
  <r>
    <x v="180"/>
    <x v="3"/>
    <x v="3"/>
    <x v="30"/>
    <x v="30"/>
    <x v="0"/>
    <n v="116"/>
    <n v="92"/>
    <n v="96"/>
    <n v="8"/>
    <n v="40"/>
    <n v="1"/>
    <n v="104"/>
    <x v="1"/>
    <n v="208"/>
    <n v="104"/>
    <n v="104"/>
    <n v="0"/>
    <n v="0.03846153846153846"/>
    <n v="0.4615384615384616"/>
    <x v="1"/>
    <x v="0"/>
  </r>
  <r>
    <x v="181"/>
    <x v="3"/>
    <x v="3"/>
    <x v="31"/>
    <x v="31"/>
    <x v="1"/>
    <n v="62"/>
    <n v="52"/>
    <n v="103"/>
    <n v="3"/>
    <n v="21"/>
    <n v="3"/>
    <n v="8"/>
    <x v="0"/>
    <n v="114"/>
    <n v="8"/>
    <n v="8"/>
    <n v="0"/>
    <n v="0.02631578947368421"/>
    <n v="0.9035087719298246"/>
    <x v="0"/>
    <x v="0"/>
  </r>
  <r>
    <x v="182"/>
    <x v="3"/>
    <x v="3"/>
    <x v="32"/>
    <x v="32"/>
    <x v="2"/>
    <n v="59"/>
    <n v="30"/>
    <n v="50"/>
    <n v="7"/>
    <n v="34"/>
    <n v="5"/>
    <n v="32"/>
    <x v="0"/>
    <n v="89"/>
    <n v="32"/>
    <n v="32"/>
    <n v="0"/>
    <n v="0.07865168539325842"/>
    <n v="0.5617977528089888"/>
    <x v="0"/>
    <x v="0"/>
  </r>
  <r>
    <x v="183"/>
    <x v="3"/>
    <x v="3"/>
    <x v="33"/>
    <x v="33"/>
    <x v="3"/>
    <n v="138"/>
    <n v="67"/>
    <n v="98"/>
    <n v="2"/>
    <n v="26"/>
    <n v="1"/>
    <n v="105"/>
    <x v="1"/>
    <n v="205"/>
    <n v="105"/>
    <n v="105"/>
    <n v="0"/>
    <n v="0.00975609756097561"/>
    <n v="0.4780487804878049"/>
    <x v="1"/>
    <x v="0"/>
  </r>
  <r>
    <x v="184"/>
    <x v="3"/>
    <x v="3"/>
    <x v="34"/>
    <x v="34"/>
    <x v="4"/>
    <n v="60"/>
    <n v="80"/>
    <n v="87"/>
    <n v="4"/>
    <n v="33"/>
    <n v="5"/>
    <n v="49"/>
    <x v="1"/>
    <n v="140"/>
    <n v="49"/>
    <n v="49"/>
    <n v="0"/>
    <n v="0.02857142857142857"/>
    <n v="0.6214285714285714"/>
    <x v="1"/>
    <x v="0"/>
  </r>
  <r>
    <x v="185"/>
    <x v="3"/>
    <x v="3"/>
    <x v="35"/>
    <x v="35"/>
    <x v="5"/>
    <n v="98"/>
    <n v="20"/>
    <n v="69"/>
    <n v="7"/>
    <n v="17"/>
    <n v="3"/>
    <n v="42"/>
    <x v="1"/>
    <n v="118"/>
    <n v="42"/>
    <n v="42"/>
    <n v="0"/>
    <n v="0.05932203389830509"/>
    <n v="0.5847457627118644"/>
    <x v="1"/>
    <x v="0"/>
  </r>
  <r>
    <x v="186"/>
    <x v="3"/>
    <x v="3"/>
    <x v="36"/>
    <x v="36"/>
    <x v="6"/>
    <n v="109"/>
    <n v="74"/>
    <n v="70"/>
    <n v="7"/>
    <n v="33"/>
    <n v="2"/>
    <n v="106"/>
    <x v="1"/>
    <n v="183"/>
    <n v="106"/>
    <n v="106"/>
    <n v="0"/>
    <n v="0.03825136612021858"/>
    <n v="0.3825136612021858"/>
    <x v="1"/>
    <x v="0"/>
  </r>
  <r>
    <x v="187"/>
    <x v="3"/>
    <x v="3"/>
    <x v="37"/>
    <x v="37"/>
    <x v="7"/>
    <n v="95"/>
    <n v="57"/>
    <n v="32"/>
    <n v="4"/>
    <n v="37"/>
    <n v="1"/>
    <n v="116"/>
    <x v="1"/>
    <n v="152"/>
    <n v="116"/>
    <n v="116"/>
    <n v="0"/>
    <n v="0.02631578947368421"/>
    <n v="0.2105263157894737"/>
    <x v="1"/>
    <x v="0"/>
  </r>
  <r>
    <x v="188"/>
    <x v="3"/>
    <x v="3"/>
    <x v="38"/>
    <x v="38"/>
    <x v="8"/>
    <n v="128"/>
    <n v="95"/>
    <n v="99"/>
    <n v="6"/>
    <n v="40"/>
    <n v="4"/>
    <n v="118"/>
    <x v="1"/>
    <n v="223"/>
    <n v="118"/>
    <n v="118"/>
    <n v="0"/>
    <n v="0.02690582959641256"/>
    <n v="0.4439461883408072"/>
    <x v="1"/>
    <x v="0"/>
  </r>
  <r>
    <x v="189"/>
    <x v="3"/>
    <x v="3"/>
    <x v="39"/>
    <x v="39"/>
    <x v="9"/>
    <n v="92"/>
    <n v="85"/>
    <n v="77"/>
    <n v="3"/>
    <n v="19"/>
    <n v="4"/>
    <n v="97"/>
    <x v="1"/>
    <n v="177"/>
    <n v="97"/>
    <n v="97"/>
    <n v="0"/>
    <n v="0.01694915254237288"/>
    <n v="0.4350282485875706"/>
    <x v="1"/>
    <x v="0"/>
  </r>
  <r>
    <x v="190"/>
    <x v="3"/>
    <x v="3"/>
    <x v="40"/>
    <x v="40"/>
    <x v="10"/>
    <n v="65"/>
    <n v="36"/>
    <n v="123"/>
    <n v="3"/>
    <n v="36"/>
    <n v="1"/>
    <n v="0"/>
    <x v="0"/>
    <n v="101"/>
    <n v="-25"/>
    <n v="0"/>
    <n v="25"/>
    <n v="0.0297029702970297"/>
    <n v="1.217821782178218"/>
    <x v="0"/>
    <x v="0"/>
  </r>
  <r>
    <x v="191"/>
    <x v="3"/>
    <x v="3"/>
    <x v="41"/>
    <x v="41"/>
    <x v="11"/>
    <n v="52"/>
    <n v="29"/>
    <n v="110"/>
    <n v="0"/>
    <n v="22"/>
    <n v="4"/>
    <n v="0"/>
    <x v="0"/>
    <n v="81"/>
    <n v="-29"/>
    <n v="0"/>
    <n v="29"/>
    <n v="0"/>
    <n v="1.358024691358025"/>
    <x v="0"/>
    <x v="0"/>
  </r>
  <r>
    <x v="192"/>
    <x v="3"/>
    <x v="3"/>
    <x v="42"/>
    <x v="42"/>
    <x v="12"/>
    <n v="61"/>
    <n v="37"/>
    <n v="122"/>
    <n v="2"/>
    <n v="29"/>
    <n v="3"/>
    <n v="0"/>
    <x v="0"/>
    <n v="98"/>
    <n v="-26"/>
    <n v="0"/>
    <n v="26"/>
    <n v="0.02040816326530612"/>
    <n v="1.244897959183674"/>
    <x v="0"/>
    <x v="0"/>
  </r>
  <r>
    <x v="193"/>
    <x v="3"/>
    <x v="3"/>
    <x v="43"/>
    <x v="43"/>
    <x v="13"/>
    <n v="52"/>
    <n v="80"/>
    <n v="122"/>
    <n v="3"/>
    <n v="31"/>
    <n v="1"/>
    <n v="7"/>
    <x v="0"/>
    <n v="132"/>
    <n v="7"/>
    <n v="7"/>
    <n v="0"/>
    <n v="0.02272727272727273"/>
    <n v="0.9242424242424242"/>
    <x v="0"/>
    <x v="0"/>
  </r>
  <r>
    <x v="194"/>
    <x v="3"/>
    <x v="3"/>
    <x v="44"/>
    <x v="44"/>
    <x v="14"/>
    <n v="68"/>
    <n v="56"/>
    <n v="93"/>
    <n v="1"/>
    <n v="22"/>
    <n v="1"/>
    <n v="30"/>
    <x v="1"/>
    <n v="124"/>
    <n v="30"/>
    <n v="30"/>
    <n v="0"/>
    <n v="0.008064516129032258"/>
    <n v="0.75"/>
    <x v="1"/>
    <x v="0"/>
  </r>
  <r>
    <x v="195"/>
    <x v="3"/>
    <x v="3"/>
    <x v="45"/>
    <x v="45"/>
    <x v="0"/>
    <n v="127"/>
    <n v="98"/>
    <n v="133"/>
    <n v="2"/>
    <n v="25"/>
    <n v="2"/>
    <n v="90"/>
    <x v="1"/>
    <n v="225"/>
    <n v="90"/>
    <n v="90"/>
    <n v="0"/>
    <n v="0.008888888888888889"/>
    <n v="0.5911111111111111"/>
    <x v="1"/>
    <x v="0"/>
  </r>
  <r>
    <x v="196"/>
    <x v="3"/>
    <x v="3"/>
    <x v="46"/>
    <x v="46"/>
    <x v="1"/>
    <n v="130"/>
    <n v="52"/>
    <n v="129"/>
    <n v="0"/>
    <n v="23"/>
    <n v="4"/>
    <n v="53"/>
    <x v="1"/>
    <n v="182"/>
    <n v="53"/>
    <n v="53"/>
    <n v="0"/>
    <n v="0"/>
    <n v="0.7087912087912088"/>
    <x v="1"/>
    <x v="0"/>
  </r>
  <r>
    <x v="197"/>
    <x v="3"/>
    <x v="3"/>
    <x v="47"/>
    <x v="47"/>
    <x v="2"/>
    <n v="131"/>
    <n v="35"/>
    <n v="104"/>
    <n v="3"/>
    <n v="20"/>
    <n v="4"/>
    <n v="59"/>
    <x v="1"/>
    <n v="166"/>
    <n v="59"/>
    <n v="59"/>
    <n v="0"/>
    <n v="0.01807228915662651"/>
    <n v="0.6265060240963856"/>
    <x v="1"/>
    <x v="0"/>
  </r>
  <r>
    <x v="198"/>
    <x v="3"/>
    <x v="3"/>
    <x v="48"/>
    <x v="48"/>
    <x v="3"/>
    <n v="140"/>
    <n v="42"/>
    <n v="56"/>
    <n v="0"/>
    <n v="23"/>
    <n v="5"/>
    <n v="126"/>
    <x v="1"/>
    <n v="182"/>
    <n v="126"/>
    <n v="126"/>
    <n v="0"/>
    <n v="0"/>
    <n v="0.3076923076923077"/>
    <x v="1"/>
    <x v="0"/>
  </r>
  <r>
    <x v="199"/>
    <x v="3"/>
    <x v="3"/>
    <x v="49"/>
    <x v="49"/>
    <x v="4"/>
    <n v="84"/>
    <n v="29"/>
    <n v="140"/>
    <n v="1"/>
    <n v="30"/>
    <n v="5"/>
    <n v="0"/>
    <x v="0"/>
    <n v="113"/>
    <n v="-28"/>
    <n v="0"/>
    <n v="28"/>
    <n v="0.008849557522123894"/>
    <n v="1.238938053097345"/>
    <x v="0"/>
    <x v="0"/>
  </r>
  <r>
    <x v="200"/>
    <x v="4"/>
    <x v="4"/>
    <x v="0"/>
    <x v="0"/>
    <x v="0"/>
    <n v="58"/>
    <n v="20"/>
    <n v="140"/>
    <n v="1"/>
    <n v="30"/>
    <n v="1"/>
    <n v="0"/>
    <x v="0"/>
    <n v="78"/>
    <n v="-63"/>
    <n v="0"/>
    <n v="63"/>
    <n v="0.01282051282051282"/>
    <n v="1.794871794871795"/>
    <x v="0"/>
    <x v="0"/>
  </r>
  <r>
    <x v="201"/>
    <x v="4"/>
    <x v="4"/>
    <x v="1"/>
    <x v="1"/>
    <x v="1"/>
    <n v="104"/>
    <n v="57"/>
    <n v="113"/>
    <n v="2"/>
    <n v="31"/>
    <n v="3"/>
    <n v="46"/>
    <x v="1"/>
    <n v="161"/>
    <n v="46"/>
    <n v="46"/>
    <n v="0"/>
    <n v="0.0124223602484472"/>
    <n v="0.7018633540372671"/>
    <x v="1"/>
    <x v="0"/>
  </r>
  <r>
    <x v="202"/>
    <x v="4"/>
    <x v="4"/>
    <x v="2"/>
    <x v="2"/>
    <x v="2"/>
    <n v="70"/>
    <n v="57"/>
    <n v="36"/>
    <n v="1"/>
    <n v="22"/>
    <n v="1"/>
    <n v="90"/>
    <x v="1"/>
    <n v="127"/>
    <n v="90"/>
    <n v="90"/>
    <n v="0"/>
    <n v="0.007874015748031496"/>
    <n v="0.2834645669291339"/>
    <x v="1"/>
    <x v="0"/>
  </r>
  <r>
    <x v="203"/>
    <x v="4"/>
    <x v="4"/>
    <x v="3"/>
    <x v="3"/>
    <x v="3"/>
    <n v="143"/>
    <n v="35"/>
    <n v="66"/>
    <n v="0"/>
    <n v="21"/>
    <n v="1"/>
    <n v="112"/>
    <x v="1"/>
    <n v="178"/>
    <n v="112"/>
    <n v="112"/>
    <n v="0"/>
    <n v="0"/>
    <n v="0.3707865168539326"/>
    <x v="1"/>
    <x v="0"/>
  </r>
  <r>
    <x v="204"/>
    <x v="4"/>
    <x v="4"/>
    <x v="4"/>
    <x v="4"/>
    <x v="4"/>
    <n v="79"/>
    <n v="82"/>
    <n v="130"/>
    <n v="0"/>
    <n v="31"/>
    <n v="1"/>
    <n v="31"/>
    <x v="0"/>
    <n v="161"/>
    <n v="31"/>
    <n v="31"/>
    <n v="0"/>
    <n v="0"/>
    <n v="0.8074534161490683"/>
    <x v="0"/>
    <x v="0"/>
  </r>
  <r>
    <x v="205"/>
    <x v="4"/>
    <x v="4"/>
    <x v="5"/>
    <x v="5"/>
    <x v="5"/>
    <n v="133"/>
    <n v="78"/>
    <n v="112"/>
    <n v="2"/>
    <n v="24"/>
    <n v="1"/>
    <n v="97"/>
    <x v="1"/>
    <n v="211"/>
    <n v="97"/>
    <n v="97"/>
    <n v="0"/>
    <n v="0.009478672985781991"/>
    <n v="0.5308056872037915"/>
    <x v="1"/>
    <x v="0"/>
  </r>
  <r>
    <x v="206"/>
    <x v="4"/>
    <x v="4"/>
    <x v="6"/>
    <x v="6"/>
    <x v="6"/>
    <n v="116"/>
    <n v="48"/>
    <n v="118"/>
    <n v="2"/>
    <n v="31"/>
    <n v="2"/>
    <n v="44"/>
    <x v="1"/>
    <n v="164"/>
    <n v="44"/>
    <n v="44"/>
    <n v="0"/>
    <n v="0.01219512195121951"/>
    <n v="0.7195121951219512"/>
    <x v="1"/>
    <x v="0"/>
  </r>
  <r>
    <x v="207"/>
    <x v="4"/>
    <x v="4"/>
    <x v="7"/>
    <x v="7"/>
    <x v="7"/>
    <n v="134"/>
    <n v="29"/>
    <n v="91"/>
    <n v="2"/>
    <n v="33"/>
    <n v="4"/>
    <n v="70"/>
    <x v="1"/>
    <n v="163"/>
    <n v="70"/>
    <n v="70"/>
    <n v="0"/>
    <n v="0.01226993865030675"/>
    <n v="0.5582822085889571"/>
    <x v="1"/>
    <x v="0"/>
  </r>
  <r>
    <x v="208"/>
    <x v="4"/>
    <x v="4"/>
    <x v="8"/>
    <x v="8"/>
    <x v="8"/>
    <n v="60"/>
    <n v="76"/>
    <n v="130"/>
    <n v="1"/>
    <n v="26"/>
    <n v="1"/>
    <n v="5"/>
    <x v="0"/>
    <n v="136"/>
    <n v="5"/>
    <n v="5"/>
    <n v="0"/>
    <n v="0.007352941176470588"/>
    <n v="0.9558823529411765"/>
    <x v="0"/>
    <x v="0"/>
  </r>
  <r>
    <x v="209"/>
    <x v="4"/>
    <x v="4"/>
    <x v="9"/>
    <x v="9"/>
    <x v="9"/>
    <n v="75"/>
    <n v="79"/>
    <n v="72"/>
    <n v="0"/>
    <n v="27"/>
    <n v="2"/>
    <n v="82"/>
    <x v="1"/>
    <n v="154"/>
    <n v="82"/>
    <n v="82"/>
    <n v="0"/>
    <n v="0"/>
    <n v="0.4675324675324675"/>
    <x v="1"/>
    <x v="0"/>
  </r>
  <r>
    <x v="210"/>
    <x v="4"/>
    <x v="4"/>
    <x v="10"/>
    <x v="10"/>
    <x v="10"/>
    <n v="91"/>
    <n v="60"/>
    <n v="91"/>
    <n v="3"/>
    <n v="35"/>
    <n v="4"/>
    <n v="57"/>
    <x v="1"/>
    <n v="151"/>
    <n v="57"/>
    <n v="57"/>
    <n v="0"/>
    <n v="0.01986754966887417"/>
    <n v="0.6026490066225165"/>
    <x v="1"/>
    <x v="0"/>
  </r>
  <r>
    <x v="211"/>
    <x v="4"/>
    <x v="4"/>
    <x v="11"/>
    <x v="11"/>
    <x v="11"/>
    <n v="69"/>
    <n v="64"/>
    <n v="65"/>
    <n v="3"/>
    <n v="22"/>
    <n v="3"/>
    <n v="65"/>
    <x v="1"/>
    <n v="133"/>
    <n v="65"/>
    <n v="65"/>
    <n v="0"/>
    <n v="0.02255639097744361"/>
    <n v="0.4887218045112782"/>
    <x v="1"/>
    <x v="0"/>
  </r>
  <r>
    <x v="212"/>
    <x v="4"/>
    <x v="4"/>
    <x v="12"/>
    <x v="12"/>
    <x v="12"/>
    <n v="116"/>
    <n v="43"/>
    <n v="100"/>
    <n v="2"/>
    <n v="38"/>
    <n v="1"/>
    <n v="57"/>
    <x v="1"/>
    <n v="159"/>
    <n v="57"/>
    <n v="57"/>
    <n v="0"/>
    <n v="0.01257861635220126"/>
    <n v="0.6289308176100629"/>
    <x v="1"/>
    <x v="0"/>
  </r>
  <r>
    <x v="213"/>
    <x v="4"/>
    <x v="4"/>
    <x v="13"/>
    <x v="13"/>
    <x v="13"/>
    <n v="105"/>
    <n v="31"/>
    <n v="40"/>
    <n v="0"/>
    <n v="16"/>
    <n v="1"/>
    <n v="96"/>
    <x v="1"/>
    <n v="136"/>
    <n v="96"/>
    <n v="96"/>
    <n v="0"/>
    <n v="0"/>
    <n v="0.2941176470588235"/>
    <x v="1"/>
    <x v="0"/>
  </r>
  <r>
    <x v="214"/>
    <x v="4"/>
    <x v="4"/>
    <x v="14"/>
    <x v="14"/>
    <x v="14"/>
    <n v="84"/>
    <n v="87"/>
    <n v="96"/>
    <n v="3"/>
    <n v="23"/>
    <n v="4"/>
    <n v="72"/>
    <x v="1"/>
    <n v="171"/>
    <n v="72"/>
    <n v="72"/>
    <n v="0"/>
    <n v="0.01754385964912281"/>
    <n v="0.5614035087719298"/>
    <x v="1"/>
    <x v="0"/>
  </r>
  <r>
    <x v="215"/>
    <x v="4"/>
    <x v="4"/>
    <x v="15"/>
    <x v="15"/>
    <x v="0"/>
    <n v="44"/>
    <n v="83"/>
    <n v="89"/>
    <n v="2"/>
    <n v="34"/>
    <n v="1"/>
    <n v="36"/>
    <x v="1"/>
    <n v="127"/>
    <n v="36"/>
    <n v="36"/>
    <n v="0"/>
    <n v="0.01574803149606299"/>
    <n v="0.7007874015748031"/>
    <x v="1"/>
    <x v="0"/>
  </r>
  <r>
    <x v="216"/>
    <x v="4"/>
    <x v="4"/>
    <x v="16"/>
    <x v="16"/>
    <x v="1"/>
    <n v="46"/>
    <n v="72"/>
    <n v="128"/>
    <n v="0"/>
    <n v="35"/>
    <n v="4"/>
    <n v="0"/>
    <x v="0"/>
    <n v="118"/>
    <n v="-10"/>
    <n v="0"/>
    <n v="10"/>
    <n v="0"/>
    <n v="1.084745762711864"/>
    <x v="0"/>
    <x v="0"/>
  </r>
  <r>
    <x v="217"/>
    <x v="4"/>
    <x v="4"/>
    <x v="17"/>
    <x v="17"/>
    <x v="2"/>
    <n v="108"/>
    <n v="92"/>
    <n v="86"/>
    <n v="2"/>
    <n v="17"/>
    <n v="5"/>
    <n v="112"/>
    <x v="1"/>
    <n v="200"/>
    <n v="112"/>
    <n v="112"/>
    <n v="0"/>
    <n v="0.01"/>
    <n v="0.43"/>
    <x v="1"/>
    <x v="0"/>
  </r>
  <r>
    <x v="218"/>
    <x v="4"/>
    <x v="4"/>
    <x v="18"/>
    <x v="18"/>
    <x v="3"/>
    <n v="84"/>
    <n v="34"/>
    <n v="87"/>
    <n v="0"/>
    <n v="40"/>
    <n v="4"/>
    <n v="31"/>
    <x v="0"/>
    <n v="118"/>
    <n v="31"/>
    <n v="31"/>
    <n v="0"/>
    <n v="0"/>
    <n v="0.7372881355932204"/>
    <x v="0"/>
    <x v="0"/>
  </r>
  <r>
    <x v="219"/>
    <x v="4"/>
    <x v="4"/>
    <x v="19"/>
    <x v="19"/>
    <x v="4"/>
    <n v="143"/>
    <n v="46"/>
    <n v="106"/>
    <n v="0"/>
    <n v="21"/>
    <n v="4"/>
    <n v="83"/>
    <x v="1"/>
    <n v="189"/>
    <n v="83"/>
    <n v="83"/>
    <n v="0"/>
    <n v="0"/>
    <n v="0.5608465608465608"/>
    <x v="1"/>
    <x v="0"/>
  </r>
  <r>
    <x v="220"/>
    <x v="4"/>
    <x v="4"/>
    <x v="20"/>
    <x v="20"/>
    <x v="5"/>
    <n v="88"/>
    <n v="51"/>
    <n v="88"/>
    <n v="1"/>
    <n v="19"/>
    <n v="2"/>
    <n v="50"/>
    <x v="1"/>
    <n v="139"/>
    <n v="50"/>
    <n v="50"/>
    <n v="0"/>
    <n v="0.007194244604316547"/>
    <n v="0.6330935251798561"/>
    <x v="1"/>
    <x v="0"/>
  </r>
  <r>
    <x v="221"/>
    <x v="4"/>
    <x v="4"/>
    <x v="21"/>
    <x v="21"/>
    <x v="6"/>
    <n v="53"/>
    <n v="59"/>
    <n v="58"/>
    <n v="2"/>
    <n v="39"/>
    <n v="5"/>
    <n v="52"/>
    <x v="1"/>
    <n v="112"/>
    <n v="52"/>
    <n v="52"/>
    <n v="0"/>
    <n v="0.01785714285714286"/>
    <n v="0.5178571428571429"/>
    <x v="1"/>
    <x v="0"/>
  </r>
  <r>
    <x v="222"/>
    <x v="4"/>
    <x v="4"/>
    <x v="22"/>
    <x v="22"/>
    <x v="7"/>
    <n v="49"/>
    <n v="61"/>
    <n v="131"/>
    <n v="1"/>
    <n v="20"/>
    <n v="3"/>
    <n v="0"/>
    <x v="0"/>
    <n v="110"/>
    <n v="-22"/>
    <n v="0"/>
    <n v="22"/>
    <n v="0.00909090909090909"/>
    <n v="1.190909090909091"/>
    <x v="0"/>
    <x v="0"/>
  </r>
  <r>
    <x v="223"/>
    <x v="4"/>
    <x v="4"/>
    <x v="23"/>
    <x v="23"/>
    <x v="8"/>
    <n v="150"/>
    <n v="62"/>
    <n v="56"/>
    <n v="1"/>
    <n v="24"/>
    <n v="4"/>
    <n v="155"/>
    <x v="1"/>
    <n v="212"/>
    <n v="155"/>
    <n v="155"/>
    <n v="0"/>
    <n v="0.004716981132075472"/>
    <n v="0.2641509433962264"/>
    <x v="1"/>
    <x v="0"/>
  </r>
  <r>
    <x v="224"/>
    <x v="4"/>
    <x v="4"/>
    <x v="24"/>
    <x v="24"/>
    <x v="9"/>
    <n v="82"/>
    <n v="20"/>
    <n v="107"/>
    <n v="3"/>
    <n v="31"/>
    <n v="5"/>
    <n v="0"/>
    <x v="0"/>
    <n v="102"/>
    <n v="-8"/>
    <n v="0"/>
    <n v="8"/>
    <n v="0.02941176470588235"/>
    <n v="1.049019607843137"/>
    <x v="0"/>
    <x v="0"/>
  </r>
  <r>
    <x v="225"/>
    <x v="4"/>
    <x v="4"/>
    <x v="25"/>
    <x v="25"/>
    <x v="10"/>
    <n v="76"/>
    <n v="49"/>
    <n v="64"/>
    <n v="3"/>
    <n v="32"/>
    <n v="1"/>
    <n v="58"/>
    <x v="1"/>
    <n v="125"/>
    <n v="58"/>
    <n v="58"/>
    <n v="0"/>
    <n v="0.024"/>
    <n v="0.512"/>
    <x v="1"/>
    <x v="0"/>
  </r>
  <r>
    <x v="226"/>
    <x v="4"/>
    <x v="4"/>
    <x v="26"/>
    <x v="26"/>
    <x v="11"/>
    <n v="149"/>
    <n v="29"/>
    <n v="125"/>
    <n v="3"/>
    <n v="18"/>
    <n v="1"/>
    <n v="50"/>
    <x v="1"/>
    <n v="178"/>
    <n v="50"/>
    <n v="50"/>
    <n v="0"/>
    <n v="0.01685393258426966"/>
    <n v="0.702247191011236"/>
    <x v="1"/>
    <x v="0"/>
  </r>
  <r>
    <x v="227"/>
    <x v="4"/>
    <x v="4"/>
    <x v="27"/>
    <x v="27"/>
    <x v="12"/>
    <n v="125"/>
    <n v="29"/>
    <n v="73"/>
    <n v="0"/>
    <n v="21"/>
    <n v="4"/>
    <n v="81"/>
    <x v="1"/>
    <n v="154"/>
    <n v="81"/>
    <n v="81"/>
    <n v="0"/>
    <n v="0"/>
    <n v="0.474025974025974"/>
    <x v="1"/>
    <x v="0"/>
  </r>
  <r>
    <x v="228"/>
    <x v="4"/>
    <x v="4"/>
    <x v="28"/>
    <x v="28"/>
    <x v="13"/>
    <n v="48"/>
    <n v="21"/>
    <n v="99"/>
    <n v="1"/>
    <n v="31"/>
    <n v="3"/>
    <n v="0"/>
    <x v="0"/>
    <n v="69"/>
    <n v="-31"/>
    <n v="0"/>
    <n v="31"/>
    <n v="0.01449275362318841"/>
    <n v="1.434782608695652"/>
    <x v="0"/>
    <x v="0"/>
  </r>
  <r>
    <x v="229"/>
    <x v="4"/>
    <x v="4"/>
    <x v="29"/>
    <x v="29"/>
    <x v="14"/>
    <n v="70"/>
    <n v="64"/>
    <n v="67"/>
    <n v="8"/>
    <n v="27"/>
    <n v="5"/>
    <n v="59"/>
    <x v="1"/>
    <n v="134"/>
    <n v="59"/>
    <n v="59"/>
    <n v="0"/>
    <n v="0.05970149253731343"/>
    <n v="0.5"/>
    <x v="1"/>
    <x v="0"/>
  </r>
  <r>
    <x v="230"/>
    <x v="4"/>
    <x v="4"/>
    <x v="30"/>
    <x v="30"/>
    <x v="0"/>
    <n v="96"/>
    <n v="35"/>
    <n v="55"/>
    <n v="8"/>
    <n v="20"/>
    <n v="2"/>
    <n v="68"/>
    <x v="1"/>
    <n v="131"/>
    <n v="68"/>
    <n v="68"/>
    <n v="0"/>
    <n v="0.06106870229007633"/>
    <n v="0.4198473282442748"/>
    <x v="1"/>
    <x v="0"/>
  </r>
  <r>
    <x v="231"/>
    <x v="4"/>
    <x v="4"/>
    <x v="31"/>
    <x v="31"/>
    <x v="1"/>
    <n v="140"/>
    <n v="84"/>
    <n v="52"/>
    <n v="3"/>
    <n v="30"/>
    <n v="5"/>
    <n v="169"/>
    <x v="1"/>
    <n v="224"/>
    <n v="169"/>
    <n v="169"/>
    <n v="0"/>
    <n v="0.01339285714285714"/>
    <n v="0.2321428571428572"/>
    <x v="1"/>
    <x v="0"/>
  </r>
  <r>
    <x v="232"/>
    <x v="4"/>
    <x v="4"/>
    <x v="32"/>
    <x v="32"/>
    <x v="2"/>
    <n v="90"/>
    <n v="39"/>
    <n v="35"/>
    <n v="6"/>
    <n v="27"/>
    <n v="2"/>
    <n v="88"/>
    <x v="1"/>
    <n v="129"/>
    <n v="88"/>
    <n v="88"/>
    <n v="0"/>
    <n v="0.04651162790697674"/>
    <n v="0.2713178294573643"/>
    <x v="1"/>
    <x v="0"/>
  </r>
  <r>
    <x v="233"/>
    <x v="4"/>
    <x v="4"/>
    <x v="33"/>
    <x v="33"/>
    <x v="3"/>
    <n v="61"/>
    <n v="21"/>
    <n v="140"/>
    <n v="6"/>
    <n v="36"/>
    <n v="5"/>
    <n v="0"/>
    <x v="0"/>
    <n v="82"/>
    <n v="-64"/>
    <n v="0"/>
    <n v="64"/>
    <n v="0.07317073170731707"/>
    <n v="1.707317073170732"/>
    <x v="0"/>
    <x v="0"/>
  </r>
  <r>
    <x v="234"/>
    <x v="4"/>
    <x v="4"/>
    <x v="34"/>
    <x v="34"/>
    <x v="4"/>
    <n v="136"/>
    <n v="86"/>
    <n v="82"/>
    <n v="6"/>
    <n v="24"/>
    <n v="1"/>
    <n v="134"/>
    <x v="1"/>
    <n v="222"/>
    <n v="134"/>
    <n v="134"/>
    <n v="0"/>
    <n v="0.02702702702702703"/>
    <n v="0.3693693693693694"/>
    <x v="1"/>
    <x v="0"/>
  </r>
  <r>
    <x v="235"/>
    <x v="4"/>
    <x v="4"/>
    <x v="35"/>
    <x v="35"/>
    <x v="5"/>
    <n v="55"/>
    <n v="57"/>
    <n v="89"/>
    <n v="4"/>
    <n v="17"/>
    <n v="5"/>
    <n v="19"/>
    <x v="1"/>
    <n v="112"/>
    <n v="19"/>
    <n v="19"/>
    <n v="0"/>
    <n v="0.03571428571428571"/>
    <n v="0.7946428571428571"/>
    <x v="1"/>
    <x v="0"/>
  </r>
  <r>
    <x v="236"/>
    <x v="4"/>
    <x v="4"/>
    <x v="36"/>
    <x v="36"/>
    <x v="6"/>
    <n v="78"/>
    <n v="75"/>
    <n v="130"/>
    <n v="6"/>
    <n v="25"/>
    <n v="4"/>
    <n v="17"/>
    <x v="0"/>
    <n v="153"/>
    <n v="17"/>
    <n v="17"/>
    <n v="0"/>
    <n v="0.0392156862745098"/>
    <n v="0.8496732026143791"/>
    <x v="0"/>
    <x v="0"/>
  </r>
  <r>
    <x v="237"/>
    <x v="4"/>
    <x v="4"/>
    <x v="37"/>
    <x v="37"/>
    <x v="7"/>
    <n v="119"/>
    <n v="89"/>
    <n v="118"/>
    <n v="3"/>
    <n v="30"/>
    <n v="2"/>
    <n v="87"/>
    <x v="1"/>
    <n v="208"/>
    <n v="87"/>
    <n v="87"/>
    <n v="0"/>
    <n v="0.01442307692307692"/>
    <n v="0.5673076923076923"/>
    <x v="1"/>
    <x v="0"/>
  </r>
  <r>
    <x v="238"/>
    <x v="4"/>
    <x v="4"/>
    <x v="38"/>
    <x v="38"/>
    <x v="8"/>
    <n v="126"/>
    <n v="97"/>
    <n v="115"/>
    <n v="5"/>
    <n v="36"/>
    <n v="1"/>
    <n v="103"/>
    <x v="1"/>
    <n v="223"/>
    <n v="103"/>
    <n v="103"/>
    <n v="0"/>
    <n v="0.02242152466367713"/>
    <n v="0.515695067264574"/>
    <x v="1"/>
    <x v="0"/>
  </r>
  <r>
    <x v="239"/>
    <x v="4"/>
    <x v="4"/>
    <x v="39"/>
    <x v="39"/>
    <x v="9"/>
    <n v="132"/>
    <n v="93"/>
    <n v="31"/>
    <n v="4"/>
    <n v="30"/>
    <n v="3"/>
    <n v="190"/>
    <x v="1"/>
    <n v="225"/>
    <n v="190"/>
    <n v="190"/>
    <n v="0"/>
    <n v="0.01777777777777778"/>
    <n v="0.1377777777777778"/>
    <x v="1"/>
    <x v="0"/>
  </r>
  <r>
    <x v="240"/>
    <x v="4"/>
    <x v="4"/>
    <x v="40"/>
    <x v="40"/>
    <x v="10"/>
    <n v="95"/>
    <n v="76"/>
    <n v="133"/>
    <n v="3"/>
    <n v="31"/>
    <n v="3"/>
    <n v="35"/>
    <x v="1"/>
    <n v="171"/>
    <n v="35"/>
    <n v="35"/>
    <n v="0"/>
    <n v="0.01754385964912281"/>
    <n v="0.7777777777777778"/>
    <x v="1"/>
    <x v="0"/>
  </r>
  <r>
    <x v="241"/>
    <x v="4"/>
    <x v="4"/>
    <x v="41"/>
    <x v="41"/>
    <x v="11"/>
    <n v="124"/>
    <n v="99"/>
    <n v="86"/>
    <n v="0"/>
    <n v="35"/>
    <n v="5"/>
    <n v="137"/>
    <x v="1"/>
    <n v="223"/>
    <n v="137"/>
    <n v="137"/>
    <n v="0"/>
    <n v="0"/>
    <n v="0.3856502242152466"/>
    <x v="1"/>
    <x v="0"/>
  </r>
  <r>
    <x v="242"/>
    <x v="4"/>
    <x v="4"/>
    <x v="42"/>
    <x v="42"/>
    <x v="12"/>
    <n v="51"/>
    <n v="62"/>
    <n v="135"/>
    <n v="2"/>
    <n v="34"/>
    <n v="4"/>
    <n v="0"/>
    <x v="0"/>
    <n v="113"/>
    <n v="-24"/>
    <n v="0"/>
    <n v="24"/>
    <n v="0.01769911504424779"/>
    <n v="1.194690265486726"/>
    <x v="0"/>
    <x v="0"/>
  </r>
  <r>
    <x v="243"/>
    <x v="4"/>
    <x v="4"/>
    <x v="43"/>
    <x v="43"/>
    <x v="13"/>
    <n v="61"/>
    <n v="91"/>
    <n v="134"/>
    <n v="0"/>
    <n v="30"/>
    <n v="5"/>
    <n v="18"/>
    <x v="0"/>
    <n v="152"/>
    <n v="18"/>
    <n v="18"/>
    <n v="0"/>
    <n v="0"/>
    <n v="0.881578947368421"/>
    <x v="0"/>
    <x v="0"/>
  </r>
  <r>
    <x v="244"/>
    <x v="4"/>
    <x v="4"/>
    <x v="44"/>
    <x v="44"/>
    <x v="14"/>
    <n v="90"/>
    <n v="95"/>
    <n v="39"/>
    <n v="2"/>
    <n v="29"/>
    <n v="1"/>
    <n v="144"/>
    <x v="1"/>
    <n v="185"/>
    <n v="144"/>
    <n v="144"/>
    <n v="0"/>
    <n v="0.01081081081081081"/>
    <n v="0.2108108108108108"/>
    <x v="1"/>
    <x v="0"/>
  </r>
  <r>
    <x v="245"/>
    <x v="4"/>
    <x v="4"/>
    <x v="45"/>
    <x v="45"/>
    <x v="0"/>
    <n v="88"/>
    <n v="32"/>
    <n v="88"/>
    <n v="1"/>
    <n v="35"/>
    <n v="1"/>
    <n v="31"/>
    <x v="0"/>
    <n v="120"/>
    <n v="31"/>
    <n v="31"/>
    <n v="0"/>
    <n v="0.008333333333333333"/>
    <n v="0.7333333333333333"/>
    <x v="0"/>
    <x v="0"/>
  </r>
  <r>
    <x v="246"/>
    <x v="4"/>
    <x v="4"/>
    <x v="46"/>
    <x v="46"/>
    <x v="1"/>
    <n v="144"/>
    <n v="21"/>
    <n v="100"/>
    <n v="0"/>
    <n v="34"/>
    <n v="5"/>
    <n v="65"/>
    <x v="1"/>
    <n v="165"/>
    <n v="65"/>
    <n v="65"/>
    <n v="0"/>
    <n v="0"/>
    <n v="0.6060606060606061"/>
    <x v="1"/>
    <x v="0"/>
  </r>
  <r>
    <x v="247"/>
    <x v="4"/>
    <x v="4"/>
    <x v="47"/>
    <x v="47"/>
    <x v="2"/>
    <n v="76"/>
    <n v="58"/>
    <n v="32"/>
    <n v="1"/>
    <n v="39"/>
    <n v="5"/>
    <n v="101"/>
    <x v="1"/>
    <n v="134"/>
    <n v="101"/>
    <n v="101"/>
    <n v="0"/>
    <n v="0.007462686567164179"/>
    <n v="0.2388059701492537"/>
    <x v="1"/>
    <x v="0"/>
  </r>
  <r>
    <x v="248"/>
    <x v="4"/>
    <x v="4"/>
    <x v="48"/>
    <x v="48"/>
    <x v="3"/>
    <n v="132"/>
    <n v="51"/>
    <n v="94"/>
    <n v="2"/>
    <n v="37"/>
    <n v="1"/>
    <n v="87"/>
    <x v="1"/>
    <n v="183"/>
    <n v="87"/>
    <n v="87"/>
    <n v="0"/>
    <n v="0.01092896174863388"/>
    <n v="0.5136612021857924"/>
    <x v="1"/>
    <x v="0"/>
  </r>
  <r>
    <x v="249"/>
    <x v="4"/>
    <x v="4"/>
    <x v="49"/>
    <x v="49"/>
    <x v="4"/>
    <n v="95"/>
    <n v="48"/>
    <n v="105"/>
    <n v="1"/>
    <n v="18"/>
    <n v="3"/>
    <n v="37"/>
    <x v="1"/>
    <n v="143"/>
    <n v="37"/>
    <n v="37"/>
    <n v="0"/>
    <n v="0.006993006993006993"/>
    <n v="0.7342657342657343"/>
    <x v="1"/>
    <x v="0"/>
  </r>
  <r>
    <x v="250"/>
    <x v="5"/>
    <x v="5"/>
    <x v="0"/>
    <x v="0"/>
    <x v="0"/>
    <n v="142"/>
    <n v="33"/>
    <n v="44"/>
    <n v="2"/>
    <n v="37"/>
    <n v="4"/>
    <n v="129"/>
    <x v="1"/>
    <n v="175"/>
    <n v="129"/>
    <n v="129"/>
    <n v="0"/>
    <n v="0.01142857142857143"/>
    <n v="0.2514285714285714"/>
    <x v="1"/>
    <x v="0"/>
  </r>
  <r>
    <x v="251"/>
    <x v="5"/>
    <x v="5"/>
    <x v="1"/>
    <x v="1"/>
    <x v="1"/>
    <n v="123"/>
    <n v="61"/>
    <n v="95"/>
    <n v="0"/>
    <n v="38"/>
    <n v="1"/>
    <n v="89"/>
    <x v="1"/>
    <n v="184"/>
    <n v="89"/>
    <n v="89"/>
    <n v="0"/>
    <n v="0"/>
    <n v="0.5163043478260869"/>
    <x v="1"/>
    <x v="0"/>
  </r>
  <r>
    <x v="252"/>
    <x v="5"/>
    <x v="5"/>
    <x v="2"/>
    <x v="2"/>
    <x v="2"/>
    <n v="69"/>
    <n v="78"/>
    <n v="61"/>
    <n v="2"/>
    <n v="21"/>
    <n v="1"/>
    <n v="84"/>
    <x v="1"/>
    <n v="147"/>
    <n v="84"/>
    <n v="84"/>
    <n v="0"/>
    <n v="0.01360544217687075"/>
    <n v="0.4149659863945578"/>
    <x v="1"/>
    <x v="0"/>
  </r>
  <r>
    <x v="253"/>
    <x v="5"/>
    <x v="5"/>
    <x v="3"/>
    <x v="3"/>
    <x v="3"/>
    <n v="134"/>
    <n v="55"/>
    <n v="51"/>
    <n v="1"/>
    <n v="28"/>
    <n v="2"/>
    <n v="137"/>
    <x v="1"/>
    <n v="189"/>
    <n v="137"/>
    <n v="137"/>
    <n v="0"/>
    <n v="0.005291005291005291"/>
    <n v="0.2698412698412698"/>
    <x v="1"/>
    <x v="0"/>
  </r>
  <r>
    <x v="254"/>
    <x v="5"/>
    <x v="5"/>
    <x v="4"/>
    <x v="4"/>
    <x v="4"/>
    <n v="147"/>
    <n v="39"/>
    <n v="63"/>
    <n v="3"/>
    <n v="21"/>
    <n v="4"/>
    <n v="120"/>
    <x v="1"/>
    <n v="186"/>
    <n v="120"/>
    <n v="120"/>
    <n v="0"/>
    <n v="0.01612903225806452"/>
    <n v="0.3387096774193548"/>
    <x v="1"/>
    <x v="0"/>
  </r>
  <r>
    <x v="255"/>
    <x v="5"/>
    <x v="5"/>
    <x v="5"/>
    <x v="5"/>
    <x v="5"/>
    <n v="128"/>
    <n v="85"/>
    <n v="69"/>
    <n v="0"/>
    <n v="34"/>
    <n v="1"/>
    <n v="144"/>
    <x v="1"/>
    <n v="213"/>
    <n v="144"/>
    <n v="144"/>
    <n v="0"/>
    <n v="0"/>
    <n v="0.323943661971831"/>
    <x v="1"/>
    <x v="0"/>
  </r>
  <r>
    <x v="256"/>
    <x v="5"/>
    <x v="5"/>
    <x v="6"/>
    <x v="6"/>
    <x v="6"/>
    <n v="101"/>
    <n v="87"/>
    <n v="131"/>
    <n v="2"/>
    <n v="25"/>
    <n v="5"/>
    <n v="55"/>
    <x v="1"/>
    <n v="188"/>
    <n v="55"/>
    <n v="55"/>
    <n v="0"/>
    <n v="0.01063829787234043"/>
    <n v="0.6968085106382979"/>
    <x v="1"/>
    <x v="0"/>
  </r>
  <r>
    <x v="257"/>
    <x v="5"/>
    <x v="5"/>
    <x v="7"/>
    <x v="7"/>
    <x v="7"/>
    <n v="135"/>
    <n v="51"/>
    <n v="83"/>
    <n v="1"/>
    <n v="19"/>
    <n v="5"/>
    <n v="102"/>
    <x v="1"/>
    <n v="186"/>
    <n v="102"/>
    <n v="102"/>
    <n v="0"/>
    <n v="0.005376344086021506"/>
    <n v="0.4462365591397849"/>
    <x v="1"/>
    <x v="0"/>
  </r>
  <r>
    <x v="258"/>
    <x v="5"/>
    <x v="5"/>
    <x v="8"/>
    <x v="8"/>
    <x v="8"/>
    <n v="144"/>
    <n v="86"/>
    <n v="133"/>
    <n v="3"/>
    <n v="16"/>
    <n v="3"/>
    <n v="94"/>
    <x v="1"/>
    <n v="230"/>
    <n v="94"/>
    <n v="94"/>
    <n v="0"/>
    <n v="0.01304347826086956"/>
    <n v="0.5782608695652174"/>
    <x v="1"/>
    <x v="0"/>
  </r>
  <r>
    <x v="259"/>
    <x v="5"/>
    <x v="5"/>
    <x v="9"/>
    <x v="9"/>
    <x v="9"/>
    <n v="48"/>
    <n v="21"/>
    <n v="73"/>
    <n v="2"/>
    <n v="36"/>
    <n v="3"/>
    <n v="0"/>
    <x v="0"/>
    <n v="69"/>
    <n v="-6"/>
    <n v="0"/>
    <n v="6"/>
    <n v="0.02898550724637681"/>
    <n v="1.057971014492754"/>
    <x v="0"/>
    <x v="0"/>
  </r>
  <r>
    <x v="260"/>
    <x v="5"/>
    <x v="5"/>
    <x v="10"/>
    <x v="10"/>
    <x v="10"/>
    <n v="72"/>
    <n v="53"/>
    <n v="95"/>
    <n v="1"/>
    <n v="39"/>
    <n v="5"/>
    <n v="29"/>
    <x v="0"/>
    <n v="125"/>
    <n v="29"/>
    <n v="29"/>
    <n v="0"/>
    <n v="0.008"/>
    <n v="0.76"/>
    <x v="0"/>
    <x v="0"/>
  </r>
  <r>
    <x v="261"/>
    <x v="5"/>
    <x v="5"/>
    <x v="11"/>
    <x v="11"/>
    <x v="11"/>
    <n v="137"/>
    <n v="78"/>
    <n v="64"/>
    <n v="0"/>
    <n v="28"/>
    <n v="5"/>
    <n v="151"/>
    <x v="1"/>
    <n v="215"/>
    <n v="151"/>
    <n v="151"/>
    <n v="0"/>
    <n v="0"/>
    <n v="0.2976744186046512"/>
    <x v="1"/>
    <x v="0"/>
  </r>
  <r>
    <x v="262"/>
    <x v="5"/>
    <x v="5"/>
    <x v="12"/>
    <x v="12"/>
    <x v="12"/>
    <n v="136"/>
    <n v="27"/>
    <n v="57"/>
    <n v="1"/>
    <n v="15"/>
    <n v="5"/>
    <n v="105"/>
    <x v="1"/>
    <n v="163"/>
    <n v="105"/>
    <n v="105"/>
    <n v="0"/>
    <n v="0.006134969325153374"/>
    <n v="0.3496932515337423"/>
    <x v="1"/>
    <x v="0"/>
  </r>
  <r>
    <x v="263"/>
    <x v="5"/>
    <x v="5"/>
    <x v="13"/>
    <x v="13"/>
    <x v="13"/>
    <n v="70"/>
    <n v="40"/>
    <n v="104"/>
    <n v="2"/>
    <n v="32"/>
    <n v="3"/>
    <n v="4"/>
    <x v="0"/>
    <n v="110"/>
    <n v="4"/>
    <n v="4"/>
    <n v="0"/>
    <n v="0.01818181818181818"/>
    <n v="0.9454545454545454"/>
    <x v="0"/>
    <x v="0"/>
  </r>
  <r>
    <x v="264"/>
    <x v="5"/>
    <x v="5"/>
    <x v="14"/>
    <x v="14"/>
    <x v="14"/>
    <n v="64"/>
    <n v="67"/>
    <n v="65"/>
    <n v="1"/>
    <n v="16"/>
    <n v="2"/>
    <n v="65"/>
    <x v="1"/>
    <n v="131"/>
    <n v="65"/>
    <n v="65"/>
    <n v="0"/>
    <n v="0.007633587786259542"/>
    <n v="0.4961832061068702"/>
    <x v="1"/>
    <x v="0"/>
  </r>
  <r>
    <x v="265"/>
    <x v="5"/>
    <x v="5"/>
    <x v="15"/>
    <x v="15"/>
    <x v="0"/>
    <n v="138"/>
    <n v="86"/>
    <n v="118"/>
    <n v="1"/>
    <n v="17"/>
    <n v="3"/>
    <n v="105"/>
    <x v="1"/>
    <n v="224"/>
    <n v="105"/>
    <n v="105"/>
    <n v="0"/>
    <n v="0.004464285714285714"/>
    <n v="0.5267857142857143"/>
    <x v="1"/>
    <x v="0"/>
  </r>
  <r>
    <x v="266"/>
    <x v="5"/>
    <x v="5"/>
    <x v="16"/>
    <x v="16"/>
    <x v="1"/>
    <n v="108"/>
    <n v="79"/>
    <n v="68"/>
    <n v="2"/>
    <n v="33"/>
    <n v="2"/>
    <n v="117"/>
    <x v="1"/>
    <n v="187"/>
    <n v="117"/>
    <n v="117"/>
    <n v="0"/>
    <n v="0.0106951871657754"/>
    <n v="0.3636363636363636"/>
    <x v="1"/>
    <x v="0"/>
  </r>
  <r>
    <x v="267"/>
    <x v="5"/>
    <x v="5"/>
    <x v="17"/>
    <x v="17"/>
    <x v="2"/>
    <n v="105"/>
    <n v="56"/>
    <n v="94"/>
    <n v="3"/>
    <n v="37"/>
    <n v="4"/>
    <n v="64"/>
    <x v="1"/>
    <n v="161"/>
    <n v="64"/>
    <n v="64"/>
    <n v="0"/>
    <n v="0.01863354037267081"/>
    <n v="0.5838509316770186"/>
    <x v="1"/>
    <x v="0"/>
  </r>
  <r>
    <x v="268"/>
    <x v="5"/>
    <x v="5"/>
    <x v="18"/>
    <x v="18"/>
    <x v="3"/>
    <n v="131"/>
    <n v="43"/>
    <n v="99"/>
    <n v="1"/>
    <n v="17"/>
    <n v="1"/>
    <n v="74"/>
    <x v="1"/>
    <n v="174"/>
    <n v="74"/>
    <n v="74"/>
    <n v="0"/>
    <n v="0.005747126436781609"/>
    <n v="0.5689655172413793"/>
    <x v="1"/>
    <x v="0"/>
  </r>
  <r>
    <x v="269"/>
    <x v="5"/>
    <x v="5"/>
    <x v="19"/>
    <x v="19"/>
    <x v="4"/>
    <n v="99"/>
    <n v="22"/>
    <n v="136"/>
    <n v="1"/>
    <n v="19"/>
    <n v="4"/>
    <n v="0"/>
    <x v="0"/>
    <n v="121"/>
    <n v="-16"/>
    <n v="0"/>
    <n v="16"/>
    <n v="0.008264462809917356"/>
    <n v="1.12396694214876"/>
    <x v="0"/>
    <x v="0"/>
  </r>
  <r>
    <x v="270"/>
    <x v="5"/>
    <x v="5"/>
    <x v="20"/>
    <x v="20"/>
    <x v="5"/>
    <n v="88"/>
    <n v="46"/>
    <n v="107"/>
    <n v="3"/>
    <n v="25"/>
    <n v="3"/>
    <n v="24"/>
    <x v="0"/>
    <n v="134"/>
    <n v="24"/>
    <n v="24"/>
    <n v="0"/>
    <n v="0.02238805970149254"/>
    <n v="0.7985074626865671"/>
    <x v="0"/>
    <x v="0"/>
  </r>
  <r>
    <x v="271"/>
    <x v="5"/>
    <x v="5"/>
    <x v="21"/>
    <x v="21"/>
    <x v="6"/>
    <n v="148"/>
    <n v="94"/>
    <n v="30"/>
    <n v="2"/>
    <n v="35"/>
    <n v="1"/>
    <n v="210"/>
    <x v="1"/>
    <n v="242"/>
    <n v="210"/>
    <n v="210"/>
    <n v="0"/>
    <n v="0.008264462809917356"/>
    <n v="0.1239669421487603"/>
    <x v="1"/>
    <x v="0"/>
  </r>
  <r>
    <x v="272"/>
    <x v="5"/>
    <x v="5"/>
    <x v="22"/>
    <x v="22"/>
    <x v="7"/>
    <n v="105"/>
    <n v="49"/>
    <n v="86"/>
    <n v="3"/>
    <n v="18"/>
    <n v="2"/>
    <n v="65"/>
    <x v="1"/>
    <n v="154"/>
    <n v="65"/>
    <n v="65"/>
    <n v="0"/>
    <n v="0.01948051948051948"/>
    <n v="0.5584415584415584"/>
    <x v="1"/>
    <x v="0"/>
  </r>
  <r>
    <x v="273"/>
    <x v="5"/>
    <x v="5"/>
    <x v="23"/>
    <x v="23"/>
    <x v="8"/>
    <n v="129"/>
    <n v="68"/>
    <n v="129"/>
    <n v="1"/>
    <n v="29"/>
    <n v="5"/>
    <n v="67"/>
    <x v="1"/>
    <n v="197"/>
    <n v="67"/>
    <n v="67"/>
    <n v="0"/>
    <n v="0.005076142131979695"/>
    <n v="0.6548223350253807"/>
    <x v="1"/>
    <x v="0"/>
  </r>
  <r>
    <x v="274"/>
    <x v="5"/>
    <x v="5"/>
    <x v="24"/>
    <x v="24"/>
    <x v="9"/>
    <n v="133"/>
    <n v="94"/>
    <n v="121"/>
    <n v="1"/>
    <n v="36"/>
    <n v="3"/>
    <n v="105"/>
    <x v="1"/>
    <n v="227"/>
    <n v="105"/>
    <n v="105"/>
    <n v="0"/>
    <n v="0.004405286343612335"/>
    <n v="0.5330396475770925"/>
    <x v="1"/>
    <x v="0"/>
  </r>
  <r>
    <x v="275"/>
    <x v="5"/>
    <x v="5"/>
    <x v="25"/>
    <x v="25"/>
    <x v="10"/>
    <n v="40"/>
    <n v="88"/>
    <n v="87"/>
    <n v="2"/>
    <n v="36"/>
    <n v="2"/>
    <n v="39"/>
    <x v="1"/>
    <n v="128"/>
    <n v="39"/>
    <n v="39"/>
    <n v="0"/>
    <n v="0.015625"/>
    <n v="0.6796875"/>
    <x v="1"/>
    <x v="0"/>
  </r>
  <r>
    <x v="276"/>
    <x v="5"/>
    <x v="5"/>
    <x v="26"/>
    <x v="26"/>
    <x v="11"/>
    <n v="131"/>
    <n v="82"/>
    <n v="113"/>
    <n v="2"/>
    <n v="24"/>
    <n v="1"/>
    <n v="98"/>
    <x v="1"/>
    <n v="213"/>
    <n v="98"/>
    <n v="98"/>
    <n v="0"/>
    <n v="0.009389671361502348"/>
    <n v="0.5305164319248826"/>
    <x v="1"/>
    <x v="0"/>
  </r>
  <r>
    <x v="277"/>
    <x v="5"/>
    <x v="5"/>
    <x v="27"/>
    <x v="27"/>
    <x v="12"/>
    <n v="137"/>
    <n v="64"/>
    <n v="75"/>
    <n v="1"/>
    <n v="37"/>
    <n v="4"/>
    <n v="125"/>
    <x v="1"/>
    <n v="201"/>
    <n v="125"/>
    <n v="125"/>
    <n v="0"/>
    <n v="0.004975124378109453"/>
    <n v="0.373134328358209"/>
    <x v="1"/>
    <x v="0"/>
  </r>
  <r>
    <x v="278"/>
    <x v="5"/>
    <x v="5"/>
    <x v="28"/>
    <x v="28"/>
    <x v="13"/>
    <n v="119"/>
    <n v="50"/>
    <n v="110"/>
    <n v="1"/>
    <n v="32"/>
    <n v="5"/>
    <n v="58"/>
    <x v="1"/>
    <n v="169"/>
    <n v="58"/>
    <n v="58"/>
    <n v="0"/>
    <n v="0.005917159763313609"/>
    <n v="0.650887573964497"/>
    <x v="1"/>
    <x v="0"/>
  </r>
  <r>
    <x v="279"/>
    <x v="5"/>
    <x v="5"/>
    <x v="29"/>
    <x v="29"/>
    <x v="14"/>
    <n v="148"/>
    <n v="38"/>
    <n v="76"/>
    <n v="6"/>
    <n v="33"/>
    <n v="3"/>
    <n v="104"/>
    <x v="1"/>
    <n v="186"/>
    <n v="104"/>
    <n v="104"/>
    <n v="0"/>
    <n v="0.03225806451612903"/>
    <n v="0.4086021505376344"/>
    <x v="1"/>
    <x v="0"/>
  </r>
  <r>
    <x v="280"/>
    <x v="5"/>
    <x v="5"/>
    <x v="30"/>
    <x v="30"/>
    <x v="0"/>
    <n v="102"/>
    <n v="46"/>
    <n v="118"/>
    <n v="2"/>
    <n v="18"/>
    <n v="1"/>
    <n v="28"/>
    <x v="1"/>
    <n v="148"/>
    <n v="28"/>
    <n v="28"/>
    <n v="0"/>
    <n v="0.01351351351351351"/>
    <n v="0.7972972972972973"/>
    <x v="1"/>
    <x v="0"/>
  </r>
  <r>
    <x v="281"/>
    <x v="5"/>
    <x v="5"/>
    <x v="31"/>
    <x v="31"/>
    <x v="1"/>
    <n v="48"/>
    <n v="71"/>
    <n v="109"/>
    <n v="7"/>
    <n v="28"/>
    <n v="3"/>
    <n v="3"/>
    <x v="0"/>
    <n v="119"/>
    <n v="3"/>
    <n v="3"/>
    <n v="0"/>
    <n v="0.05882352941176471"/>
    <n v="0.9159663865546218"/>
    <x v="0"/>
    <x v="0"/>
  </r>
  <r>
    <x v="282"/>
    <x v="5"/>
    <x v="5"/>
    <x v="32"/>
    <x v="32"/>
    <x v="2"/>
    <n v="102"/>
    <n v="71"/>
    <n v="33"/>
    <n v="8"/>
    <n v="27"/>
    <n v="4"/>
    <n v="132"/>
    <x v="1"/>
    <n v="173"/>
    <n v="132"/>
    <n v="132"/>
    <n v="0"/>
    <n v="0.04624277456647399"/>
    <n v="0.1907514450867052"/>
    <x v="1"/>
    <x v="0"/>
  </r>
  <r>
    <x v="283"/>
    <x v="5"/>
    <x v="5"/>
    <x v="33"/>
    <x v="33"/>
    <x v="3"/>
    <n v="91"/>
    <n v="66"/>
    <n v="41"/>
    <n v="7"/>
    <n v="15"/>
    <n v="3"/>
    <n v="109"/>
    <x v="1"/>
    <n v="157"/>
    <n v="109"/>
    <n v="109"/>
    <n v="0"/>
    <n v="0.04458598726114649"/>
    <n v="0.2611464968152866"/>
    <x v="1"/>
    <x v="0"/>
  </r>
  <r>
    <x v="284"/>
    <x v="5"/>
    <x v="5"/>
    <x v="34"/>
    <x v="34"/>
    <x v="4"/>
    <n v="60"/>
    <n v="28"/>
    <n v="32"/>
    <n v="4"/>
    <n v="18"/>
    <n v="2"/>
    <n v="52"/>
    <x v="1"/>
    <n v="88"/>
    <n v="52"/>
    <n v="52"/>
    <n v="0"/>
    <n v="0.04545454545454546"/>
    <n v="0.3636363636363636"/>
    <x v="1"/>
    <x v="0"/>
  </r>
  <r>
    <x v="285"/>
    <x v="5"/>
    <x v="5"/>
    <x v="35"/>
    <x v="35"/>
    <x v="5"/>
    <n v="64"/>
    <n v="61"/>
    <n v="88"/>
    <n v="5"/>
    <n v="32"/>
    <n v="3"/>
    <n v="32"/>
    <x v="0"/>
    <n v="125"/>
    <n v="32"/>
    <n v="32"/>
    <n v="0"/>
    <n v="0.04"/>
    <n v="0.704"/>
    <x v="0"/>
    <x v="0"/>
  </r>
  <r>
    <x v="286"/>
    <x v="5"/>
    <x v="5"/>
    <x v="36"/>
    <x v="36"/>
    <x v="6"/>
    <n v="110"/>
    <n v="99"/>
    <n v="137"/>
    <n v="4"/>
    <n v="40"/>
    <n v="1"/>
    <n v="68"/>
    <x v="1"/>
    <n v="209"/>
    <n v="68"/>
    <n v="68"/>
    <n v="0"/>
    <n v="0.01913875598086124"/>
    <n v="0.6555023923444976"/>
    <x v="1"/>
    <x v="0"/>
  </r>
  <r>
    <x v="287"/>
    <x v="5"/>
    <x v="5"/>
    <x v="37"/>
    <x v="37"/>
    <x v="7"/>
    <n v="83"/>
    <n v="61"/>
    <n v="131"/>
    <n v="2"/>
    <n v="28"/>
    <n v="3"/>
    <n v="11"/>
    <x v="0"/>
    <n v="144"/>
    <n v="11"/>
    <n v="11"/>
    <n v="0"/>
    <n v="0.01388888888888889"/>
    <n v="0.9097222222222222"/>
    <x v="0"/>
    <x v="0"/>
  </r>
  <r>
    <x v="288"/>
    <x v="5"/>
    <x v="5"/>
    <x v="38"/>
    <x v="38"/>
    <x v="8"/>
    <n v="57"/>
    <n v="24"/>
    <n v="105"/>
    <n v="4"/>
    <n v="31"/>
    <n v="1"/>
    <n v="0"/>
    <x v="0"/>
    <n v="81"/>
    <n v="-28"/>
    <n v="0"/>
    <n v="28"/>
    <n v="0.04938271604938271"/>
    <n v="1.296296296296296"/>
    <x v="0"/>
    <x v="0"/>
  </r>
  <r>
    <x v="289"/>
    <x v="5"/>
    <x v="5"/>
    <x v="39"/>
    <x v="39"/>
    <x v="9"/>
    <n v="120"/>
    <n v="40"/>
    <n v="43"/>
    <n v="4"/>
    <n v="35"/>
    <n v="4"/>
    <n v="113"/>
    <x v="1"/>
    <n v="160"/>
    <n v="113"/>
    <n v="113"/>
    <n v="0"/>
    <n v="0.025"/>
    <n v="0.26875"/>
    <x v="1"/>
    <x v="0"/>
  </r>
  <r>
    <x v="290"/>
    <x v="5"/>
    <x v="5"/>
    <x v="40"/>
    <x v="40"/>
    <x v="10"/>
    <n v="58"/>
    <n v="32"/>
    <n v="118"/>
    <n v="2"/>
    <n v="21"/>
    <n v="4"/>
    <n v="0"/>
    <x v="0"/>
    <n v="90"/>
    <n v="-30"/>
    <n v="0"/>
    <n v="30"/>
    <n v="0.02222222222222222"/>
    <n v="1.311111111111111"/>
    <x v="0"/>
    <x v="0"/>
  </r>
  <r>
    <x v="291"/>
    <x v="5"/>
    <x v="5"/>
    <x v="41"/>
    <x v="41"/>
    <x v="11"/>
    <n v="133"/>
    <n v="75"/>
    <n v="63"/>
    <n v="1"/>
    <n v="34"/>
    <n v="1"/>
    <n v="144"/>
    <x v="1"/>
    <n v="208"/>
    <n v="144"/>
    <n v="144"/>
    <n v="0"/>
    <n v="0.004807692307692308"/>
    <n v="0.3028846153846154"/>
    <x v="1"/>
    <x v="0"/>
  </r>
  <r>
    <x v="292"/>
    <x v="5"/>
    <x v="5"/>
    <x v="42"/>
    <x v="42"/>
    <x v="12"/>
    <n v="114"/>
    <n v="51"/>
    <n v="90"/>
    <n v="3"/>
    <n v="35"/>
    <n v="3"/>
    <n v="72"/>
    <x v="1"/>
    <n v="165"/>
    <n v="72"/>
    <n v="72"/>
    <n v="0"/>
    <n v="0.01818181818181818"/>
    <n v="0.5454545454545454"/>
    <x v="1"/>
    <x v="0"/>
  </r>
  <r>
    <x v="293"/>
    <x v="5"/>
    <x v="5"/>
    <x v="43"/>
    <x v="43"/>
    <x v="13"/>
    <n v="43"/>
    <n v="41"/>
    <n v="51"/>
    <n v="1"/>
    <n v="39"/>
    <n v="3"/>
    <n v="32"/>
    <x v="0"/>
    <n v="84"/>
    <n v="32"/>
    <n v="32"/>
    <n v="0"/>
    <n v="0.0119047619047619"/>
    <n v="0.6071428571428571"/>
    <x v="0"/>
    <x v="0"/>
  </r>
  <r>
    <x v="294"/>
    <x v="5"/>
    <x v="5"/>
    <x v="44"/>
    <x v="44"/>
    <x v="14"/>
    <n v="62"/>
    <n v="66"/>
    <n v="33"/>
    <n v="0"/>
    <n v="38"/>
    <n v="5"/>
    <n v="95"/>
    <x v="1"/>
    <n v="128"/>
    <n v="95"/>
    <n v="95"/>
    <n v="0"/>
    <n v="0"/>
    <n v="0.2578125"/>
    <x v="1"/>
    <x v="0"/>
  </r>
  <r>
    <x v="295"/>
    <x v="5"/>
    <x v="5"/>
    <x v="45"/>
    <x v="45"/>
    <x v="0"/>
    <n v="101"/>
    <n v="35"/>
    <n v="34"/>
    <n v="1"/>
    <n v="22"/>
    <n v="3"/>
    <n v="101"/>
    <x v="1"/>
    <n v="136"/>
    <n v="101"/>
    <n v="101"/>
    <n v="0"/>
    <n v="0.007352941176470588"/>
    <n v="0.25"/>
    <x v="1"/>
    <x v="0"/>
  </r>
  <r>
    <x v="296"/>
    <x v="5"/>
    <x v="5"/>
    <x v="46"/>
    <x v="46"/>
    <x v="1"/>
    <n v="103"/>
    <n v="95"/>
    <n v="139"/>
    <n v="3"/>
    <n v="33"/>
    <n v="2"/>
    <n v="56"/>
    <x v="1"/>
    <n v="198"/>
    <n v="56"/>
    <n v="56"/>
    <n v="0"/>
    <n v="0.01515151515151515"/>
    <n v="0.702020202020202"/>
    <x v="1"/>
    <x v="0"/>
  </r>
  <r>
    <x v="297"/>
    <x v="5"/>
    <x v="5"/>
    <x v="47"/>
    <x v="47"/>
    <x v="2"/>
    <n v="141"/>
    <n v="76"/>
    <n v="95"/>
    <n v="3"/>
    <n v="38"/>
    <n v="4"/>
    <n v="119"/>
    <x v="1"/>
    <n v="217"/>
    <n v="119"/>
    <n v="119"/>
    <n v="0"/>
    <n v="0.01382488479262673"/>
    <n v="0.4377880184331797"/>
    <x v="1"/>
    <x v="0"/>
  </r>
  <r>
    <x v="298"/>
    <x v="5"/>
    <x v="5"/>
    <x v="48"/>
    <x v="48"/>
    <x v="3"/>
    <n v="67"/>
    <n v="23"/>
    <n v="113"/>
    <n v="1"/>
    <n v="24"/>
    <n v="1"/>
    <n v="0"/>
    <x v="0"/>
    <n v="90"/>
    <n v="-24"/>
    <n v="0"/>
    <n v="24"/>
    <n v="0.01111111111111111"/>
    <n v="1.255555555555556"/>
    <x v="0"/>
    <x v="0"/>
  </r>
  <r>
    <x v="299"/>
    <x v="5"/>
    <x v="5"/>
    <x v="49"/>
    <x v="49"/>
    <x v="4"/>
    <n v="81"/>
    <n v="76"/>
    <n v="60"/>
    <n v="0"/>
    <n v="36"/>
    <n v="4"/>
    <n v="97"/>
    <x v="1"/>
    <n v="157"/>
    <n v="97"/>
    <n v="97"/>
    <n v="0"/>
    <n v="0"/>
    <n v="0.3821656050955414"/>
    <x v="1"/>
    <x v="0"/>
  </r>
  <r>
    <x v="300"/>
    <x v="6"/>
    <x v="6"/>
    <x v="0"/>
    <x v="0"/>
    <x v="0"/>
    <n v="100"/>
    <n v="52"/>
    <n v="49"/>
    <n v="2"/>
    <n v="26"/>
    <n v="4"/>
    <n v="101"/>
    <x v="1"/>
    <n v="152"/>
    <n v="101"/>
    <n v="101"/>
    <n v="0"/>
    <n v="0.0131578947368421"/>
    <n v="0.3223684210526316"/>
    <x v="1"/>
    <x v="0"/>
  </r>
  <r>
    <x v="301"/>
    <x v="6"/>
    <x v="6"/>
    <x v="1"/>
    <x v="1"/>
    <x v="1"/>
    <n v="93"/>
    <n v="75"/>
    <n v="81"/>
    <n v="3"/>
    <n v="35"/>
    <n v="4"/>
    <n v="84"/>
    <x v="1"/>
    <n v="168"/>
    <n v="84"/>
    <n v="84"/>
    <n v="0"/>
    <n v="0.01785714285714286"/>
    <n v="0.4821428571428572"/>
    <x v="1"/>
    <x v="0"/>
  </r>
  <r>
    <x v="302"/>
    <x v="6"/>
    <x v="6"/>
    <x v="2"/>
    <x v="2"/>
    <x v="2"/>
    <n v="67"/>
    <n v="91"/>
    <n v="58"/>
    <n v="3"/>
    <n v="25"/>
    <n v="1"/>
    <n v="97"/>
    <x v="1"/>
    <n v="158"/>
    <n v="97"/>
    <n v="97"/>
    <n v="0"/>
    <n v="0.0189873417721519"/>
    <n v="0.3670886075949367"/>
    <x v="1"/>
    <x v="0"/>
  </r>
  <r>
    <x v="303"/>
    <x v="6"/>
    <x v="6"/>
    <x v="3"/>
    <x v="3"/>
    <x v="3"/>
    <n v="113"/>
    <n v="53"/>
    <n v="101"/>
    <n v="2"/>
    <n v="35"/>
    <n v="3"/>
    <n v="63"/>
    <x v="1"/>
    <n v="166"/>
    <n v="63"/>
    <n v="63"/>
    <n v="0"/>
    <n v="0.01204819277108434"/>
    <n v="0.6084337349397591"/>
    <x v="1"/>
    <x v="0"/>
  </r>
  <r>
    <x v="304"/>
    <x v="6"/>
    <x v="6"/>
    <x v="4"/>
    <x v="4"/>
    <x v="4"/>
    <n v="101"/>
    <n v="67"/>
    <n v="63"/>
    <n v="1"/>
    <n v="39"/>
    <n v="5"/>
    <n v="104"/>
    <x v="1"/>
    <n v="168"/>
    <n v="104"/>
    <n v="104"/>
    <n v="0"/>
    <n v="0.005952380952380952"/>
    <n v="0.375"/>
    <x v="1"/>
    <x v="0"/>
  </r>
  <r>
    <x v="305"/>
    <x v="6"/>
    <x v="6"/>
    <x v="5"/>
    <x v="5"/>
    <x v="5"/>
    <n v="138"/>
    <n v="33"/>
    <n v="31"/>
    <n v="0"/>
    <n v="36"/>
    <n v="4"/>
    <n v="140"/>
    <x v="1"/>
    <n v="171"/>
    <n v="140"/>
    <n v="140"/>
    <n v="0"/>
    <n v="0"/>
    <n v="0.1812865497076023"/>
    <x v="1"/>
    <x v="0"/>
  </r>
  <r>
    <x v="306"/>
    <x v="6"/>
    <x v="6"/>
    <x v="6"/>
    <x v="6"/>
    <x v="6"/>
    <n v="87"/>
    <n v="64"/>
    <n v="59"/>
    <n v="1"/>
    <n v="29"/>
    <n v="1"/>
    <n v="91"/>
    <x v="1"/>
    <n v="151"/>
    <n v="91"/>
    <n v="91"/>
    <n v="0"/>
    <n v="0.006622516556291391"/>
    <n v="0.3907284768211921"/>
    <x v="1"/>
    <x v="0"/>
  </r>
  <r>
    <x v="307"/>
    <x v="6"/>
    <x v="6"/>
    <x v="7"/>
    <x v="7"/>
    <x v="7"/>
    <n v="79"/>
    <n v="46"/>
    <n v="86"/>
    <n v="0"/>
    <n v="25"/>
    <n v="1"/>
    <n v="39"/>
    <x v="1"/>
    <n v="125"/>
    <n v="39"/>
    <n v="39"/>
    <n v="0"/>
    <n v="0"/>
    <n v="0.6879999999999999"/>
    <x v="1"/>
    <x v="0"/>
  </r>
  <r>
    <x v="308"/>
    <x v="6"/>
    <x v="6"/>
    <x v="8"/>
    <x v="8"/>
    <x v="8"/>
    <n v="127"/>
    <n v="99"/>
    <n v="43"/>
    <n v="3"/>
    <n v="23"/>
    <n v="5"/>
    <n v="180"/>
    <x v="1"/>
    <n v="226"/>
    <n v="180"/>
    <n v="180"/>
    <n v="0"/>
    <n v="0.01327433628318584"/>
    <n v="0.1902654867256637"/>
    <x v="1"/>
    <x v="0"/>
  </r>
  <r>
    <x v="309"/>
    <x v="6"/>
    <x v="6"/>
    <x v="9"/>
    <x v="9"/>
    <x v="9"/>
    <n v="137"/>
    <n v="68"/>
    <n v="131"/>
    <n v="2"/>
    <n v="36"/>
    <n v="4"/>
    <n v="72"/>
    <x v="1"/>
    <n v="205"/>
    <n v="72"/>
    <n v="72"/>
    <n v="0"/>
    <n v="0.00975609756097561"/>
    <n v="0.6390243902439025"/>
    <x v="1"/>
    <x v="0"/>
  </r>
  <r>
    <x v="310"/>
    <x v="6"/>
    <x v="6"/>
    <x v="10"/>
    <x v="10"/>
    <x v="10"/>
    <n v="83"/>
    <n v="79"/>
    <n v="129"/>
    <n v="1"/>
    <n v="15"/>
    <n v="2"/>
    <n v="32"/>
    <x v="1"/>
    <n v="162"/>
    <n v="32"/>
    <n v="32"/>
    <n v="0"/>
    <n v="0.006172839506172839"/>
    <n v="0.7962962962962963"/>
    <x v="1"/>
    <x v="0"/>
  </r>
  <r>
    <x v="311"/>
    <x v="6"/>
    <x v="6"/>
    <x v="11"/>
    <x v="11"/>
    <x v="11"/>
    <n v="137"/>
    <n v="67"/>
    <n v="71"/>
    <n v="1"/>
    <n v="17"/>
    <n v="4"/>
    <n v="132"/>
    <x v="1"/>
    <n v="204"/>
    <n v="132"/>
    <n v="132"/>
    <n v="0"/>
    <n v="0.004901960784313725"/>
    <n v="0.3480392156862745"/>
    <x v="1"/>
    <x v="0"/>
  </r>
  <r>
    <x v="312"/>
    <x v="6"/>
    <x v="6"/>
    <x v="12"/>
    <x v="12"/>
    <x v="12"/>
    <n v="73"/>
    <n v="44"/>
    <n v="72"/>
    <n v="3"/>
    <n v="23"/>
    <n v="5"/>
    <n v="42"/>
    <x v="1"/>
    <n v="117"/>
    <n v="42"/>
    <n v="42"/>
    <n v="0"/>
    <n v="0.02564102564102564"/>
    <n v="0.6153846153846154"/>
    <x v="1"/>
    <x v="0"/>
  </r>
  <r>
    <x v="313"/>
    <x v="6"/>
    <x v="6"/>
    <x v="13"/>
    <x v="13"/>
    <x v="13"/>
    <n v="80"/>
    <n v="59"/>
    <n v="61"/>
    <n v="0"/>
    <n v="39"/>
    <n v="1"/>
    <n v="78"/>
    <x v="1"/>
    <n v="139"/>
    <n v="78"/>
    <n v="78"/>
    <n v="0"/>
    <n v="0"/>
    <n v="0.4388489208633093"/>
    <x v="1"/>
    <x v="0"/>
  </r>
  <r>
    <x v="314"/>
    <x v="6"/>
    <x v="6"/>
    <x v="14"/>
    <x v="14"/>
    <x v="14"/>
    <n v="97"/>
    <n v="63"/>
    <n v="32"/>
    <n v="0"/>
    <n v="32"/>
    <n v="3"/>
    <n v="128"/>
    <x v="1"/>
    <n v="160"/>
    <n v="128"/>
    <n v="128"/>
    <n v="0"/>
    <n v="0"/>
    <n v="0.2"/>
    <x v="1"/>
    <x v="0"/>
  </r>
  <r>
    <x v="315"/>
    <x v="6"/>
    <x v="6"/>
    <x v="15"/>
    <x v="15"/>
    <x v="0"/>
    <n v="146"/>
    <n v="84"/>
    <n v="128"/>
    <n v="0"/>
    <n v="31"/>
    <n v="1"/>
    <n v="102"/>
    <x v="1"/>
    <n v="230"/>
    <n v="102"/>
    <n v="102"/>
    <n v="0"/>
    <n v="0"/>
    <n v="0.5565217391304348"/>
    <x v="1"/>
    <x v="0"/>
  </r>
  <r>
    <x v="316"/>
    <x v="6"/>
    <x v="6"/>
    <x v="16"/>
    <x v="16"/>
    <x v="1"/>
    <n v="48"/>
    <n v="66"/>
    <n v="124"/>
    <n v="0"/>
    <n v="25"/>
    <n v="2"/>
    <n v="0"/>
    <x v="0"/>
    <n v="114"/>
    <n v="-10"/>
    <n v="0"/>
    <n v="10"/>
    <n v="0"/>
    <n v="1.087719298245614"/>
    <x v="0"/>
    <x v="0"/>
  </r>
  <r>
    <x v="317"/>
    <x v="6"/>
    <x v="6"/>
    <x v="17"/>
    <x v="17"/>
    <x v="2"/>
    <n v="46"/>
    <n v="96"/>
    <n v="51"/>
    <n v="3"/>
    <n v="25"/>
    <n v="3"/>
    <n v="88"/>
    <x v="1"/>
    <n v="142"/>
    <n v="88"/>
    <n v="88"/>
    <n v="0"/>
    <n v="0.02112676056338028"/>
    <n v="0.3591549295774648"/>
    <x v="1"/>
    <x v="0"/>
  </r>
  <r>
    <x v="318"/>
    <x v="6"/>
    <x v="6"/>
    <x v="18"/>
    <x v="18"/>
    <x v="3"/>
    <n v="124"/>
    <n v="65"/>
    <n v="38"/>
    <n v="1"/>
    <n v="37"/>
    <n v="4"/>
    <n v="150"/>
    <x v="1"/>
    <n v="189"/>
    <n v="150"/>
    <n v="150"/>
    <n v="0"/>
    <n v="0.005291005291005291"/>
    <n v="0.201058201058201"/>
    <x v="1"/>
    <x v="0"/>
  </r>
  <r>
    <x v="319"/>
    <x v="6"/>
    <x v="6"/>
    <x v="19"/>
    <x v="19"/>
    <x v="4"/>
    <n v="51"/>
    <n v="53"/>
    <n v="45"/>
    <n v="2"/>
    <n v="27"/>
    <n v="1"/>
    <n v="57"/>
    <x v="1"/>
    <n v="104"/>
    <n v="57"/>
    <n v="57"/>
    <n v="0"/>
    <n v="0.01923076923076923"/>
    <n v="0.4326923076923077"/>
    <x v="1"/>
    <x v="0"/>
  </r>
  <r>
    <x v="320"/>
    <x v="6"/>
    <x v="6"/>
    <x v="20"/>
    <x v="20"/>
    <x v="5"/>
    <n v="47"/>
    <n v="86"/>
    <n v="30"/>
    <n v="3"/>
    <n v="36"/>
    <n v="2"/>
    <n v="100"/>
    <x v="1"/>
    <n v="133"/>
    <n v="100"/>
    <n v="100"/>
    <n v="0"/>
    <n v="0.02255639097744361"/>
    <n v="0.2255639097744361"/>
    <x v="1"/>
    <x v="0"/>
  </r>
  <r>
    <x v="321"/>
    <x v="6"/>
    <x v="6"/>
    <x v="21"/>
    <x v="21"/>
    <x v="6"/>
    <n v="143"/>
    <n v="38"/>
    <n v="123"/>
    <n v="2"/>
    <n v="26"/>
    <n v="1"/>
    <n v="56"/>
    <x v="1"/>
    <n v="181"/>
    <n v="56"/>
    <n v="56"/>
    <n v="0"/>
    <n v="0.01104972375690608"/>
    <n v="0.6795580110497238"/>
    <x v="1"/>
    <x v="0"/>
  </r>
  <r>
    <x v="322"/>
    <x v="6"/>
    <x v="6"/>
    <x v="22"/>
    <x v="22"/>
    <x v="7"/>
    <n v="83"/>
    <n v="72"/>
    <n v="74"/>
    <n v="1"/>
    <n v="22"/>
    <n v="2"/>
    <n v="80"/>
    <x v="1"/>
    <n v="155"/>
    <n v="80"/>
    <n v="80"/>
    <n v="0"/>
    <n v="0.006451612903225806"/>
    <n v="0.4774193548387097"/>
    <x v="1"/>
    <x v="0"/>
  </r>
  <r>
    <x v="323"/>
    <x v="6"/>
    <x v="6"/>
    <x v="23"/>
    <x v="23"/>
    <x v="8"/>
    <n v="51"/>
    <n v="84"/>
    <n v="52"/>
    <n v="2"/>
    <n v="32"/>
    <n v="5"/>
    <n v="81"/>
    <x v="1"/>
    <n v="135"/>
    <n v="81"/>
    <n v="81"/>
    <n v="0"/>
    <n v="0.01481481481481482"/>
    <n v="0.3851851851851852"/>
    <x v="1"/>
    <x v="0"/>
  </r>
  <r>
    <x v="324"/>
    <x v="6"/>
    <x v="6"/>
    <x v="24"/>
    <x v="24"/>
    <x v="9"/>
    <n v="95"/>
    <n v="96"/>
    <n v="137"/>
    <n v="0"/>
    <n v="28"/>
    <n v="4"/>
    <n v="54"/>
    <x v="1"/>
    <n v="191"/>
    <n v="54"/>
    <n v="54"/>
    <n v="0"/>
    <n v="0"/>
    <n v="0.7172774869109948"/>
    <x v="1"/>
    <x v="0"/>
  </r>
  <r>
    <x v="325"/>
    <x v="6"/>
    <x v="6"/>
    <x v="25"/>
    <x v="25"/>
    <x v="10"/>
    <n v="43"/>
    <n v="57"/>
    <n v="139"/>
    <n v="3"/>
    <n v="34"/>
    <n v="4"/>
    <n v="0"/>
    <x v="0"/>
    <n v="100"/>
    <n v="-42"/>
    <n v="0"/>
    <n v="42"/>
    <n v="0.03"/>
    <n v="1.39"/>
    <x v="0"/>
    <x v="0"/>
  </r>
  <r>
    <x v="326"/>
    <x v="6"/>
    <x v="6"/>
    <x v="26"/>
    <x v="26"/>
    <x v="11"/>
    <n v="141"/>
    <n v="89"/>
    <n v="64"/>
    <n v="0"/>
    <n v="36"/>
    <n v="4"/>
    <n v="166"/>
    <x v="1"/>
    <n v="230"/>
    <n v="166"/>
    <n v="166"/>
    <n v="0"/>
    <n v="0"/>
    <n v="0.2782608695652174"/>
    <x v="1"/>
    <x v="0"/>
  </r>
  <r>
    <x v="327"/>
    <x v="6"/>
    <x v="6"/>
    <x v="27"/>
    <x v="27"/>
    <x v="12"/>
    <n v="139"/>
    <n v="88"/>
    <n v="65"/>
    <n v="1"/>
    <n v="19"/>
    <n v="4"/>
    <n v="161"/>
    <x v="1"/>
    <n v="227"/>
    <n v="161"/>
    <n v="161"/>
    <n v="0"/>
    <n v="0.004405286343612335"/>
    <n v="0.2863436123348018"/>
    <x v="1"/>
    <x v="0"/>
  </r>
  <r>
    <x v="328"/>
    <x v="6"/>
    <x v="6"/>
    <x v="28"/>
    <x v="28"/>
    <x v="13"/>
    <n v="142"/>
    <n v="34"/>
    <n v="66"/>
    <n v="2"/>
    <n v="18"/>
    <n v="3"/>
    <n v="108"/>
    <x v="1"/>
    <n v="176"/>
    <n v="108"/>
    <n v="108"/>
    <n v="0"/>
    <n v="0.01136363636363636"/>
    <n v="0.375"/>
    <x v="1"/>
    <x v="0"/>
  </r>
  <r>
    <x v="329"/>
    <x v="6"/>
    <x v="6"/>
    <x v="29"/>
    <x v="29"/>
    <x v="14"/>
    <n v="143"/>
    <n v="49"/>
    <n v="121"/>
    <n v="3"/>
    <n v="27"/>
    <n v="3"/>
    <n v="68"/>
    <x v="1"/>
    <n v="192"/>
    <n v="68"/>
    <n v="68"/>
    <n v="0"/>
    <n v="0.015625"/>
    <n v="0.6302083333333334"/>
    <x v="1"/>
    <x v="0"/>
  </r>
  <r>
    <x v="330"/>
    <x v="6"/>
    <x v="6"/>
    <x v="30"/>
    <x v="30"/>
    <x v="0"/>
    <n v="42"/>
    <n v="84"/>
    <n v="70"/>
    <n v="7"/>
    <n v="17"/>
    <n v="1"/>
    <n v="49"/>
    <x v="1"/>
    <n v="126"/>
    <n v="49"/>
    <n v="49"/>
    <n v="0"/>
    <n v="0.05555555555555555"/>
    <n v="0.5555555555555556"/>
    <x v="1"/>
    <x v="0"/>
  </r>
  <r>
    <x v="331"/>
    <x v="6"/>
    <x v="6"/>
    <x v="31"/>
    <x v="31"/>
    <x v="1"/>
    <n v="96"/>
    <n v="74"/>
    <n v="127"/>
    <n v="7"/>
    <n v="31"/>
    <n v="3"/>
    <n v="36"/>
    <x v="1"/>
    <n v="170"/>
    <n v="36"/>
    <n v="36"/>
    <n v="0"/>
    <n v="0.04117647058823529"/>
    <n v="0.7470588235294118"/>
    <x v="1"/>
    <x v="0"/>
  </r>
  <r>
    <x v="332"/>
    <x v="6"/>
    <x v="6"/>
    <x v="32"/>
    <x v="32"/>
    <x v="2"/>
    <n v="89"/>
    <n v="64"/>
    <n v="64"/>
    <n v="7"/>
    <n v="27"/>
    <n v="3"/>
    <n v="82"/>
    <x v="1"/>
    <n v="153"/>
    <n v="82"/>
    <n v="82"/>
    <n v="0"/>
    <n v="0.0457516339869281"/>
    <n v="0.4183006535947713"/>
    <x v="1"/>
    <x v="0"/>
  </r>
  <r>
    <x v="333"/>
    <x v="6"/>
    <x v="6"/>
    <x v="33"/>
    <x v="33"/>
    <x v="3"/>
    <n v="100"/>
    <n v="60"/>
    <n v="101"/>
    <n v="3"/>
    <n v="37"/>
    <n v="3"/>
    <n v="56"/>
    <x v="1"/>
    <n v="160"/>
    <n v="56"/>
    <n v="56"/>
    <n v="0"/>
    <n v="0.01875"/>
    <n v="0.63125"/>
    <x v="1"/>
    <x v="0"/>
  </r>
  <r>
    <x v="334"/>
    <x v="6"/>
    <x v="6"/>
    <x v="34"/>
    <x v="34"/>
    <x v="4"/>
    <n v="84"/>
    <n v="59"/>
    <n v="52"/>
    <n v="5"/>
    <n v="33"/>
    <n v="1"/>
    <n v="86"/>
    <x v="1"/>
    <n v="143"/>
    <n v="86"/>
    <n v="86"/>
    <n v="0"/>
    <n v="0.03496503496503497"/>
    <n v="0.3636363636363636"/>
    <x v="1"/>
    <x v="0"/>
  </r>
  <r>
    <x v="335"/>
    <x v="6"/>
    <x v="6"/>
    <x v="35"/>
    <x v="35"/>
    <x v="5"/>
    <n v="96"/>
    <n v="81"/>
    <n v="90"/>
    <n v="6"/>
    <n v="29"/>
    <n v="4"/>
    <n v="81"/>
    <x v="1"/>
    <n v="177"/>
    <n v="81"/>
    <n v="81"/>
    <n v="0"/>
    <n v="0.03389830508474576"/>
    <n v="0.5084745762711864"/>
    <x v="1"/>
    <x v="0"/>
  </r>
  <r>
    <x v="336"/>
    <x v="6"/>
    <x v="6"/>
    <x v="36"/>
    <x v="36"/>
    <x v="6"/>
    <n v="73"/>
    <n v="42"/>
    <n v="119"/>
    <n v="5"/>
    <n v="38"/>
    <n v="2"/>
    <n v="0"/>
    <x v="0"/>
    <n v="115"/>
    <n v="-9"/>
    <n v="0"/>
    <n v="9"/>
    <n v="0.04347826086956522"/>
    <n v="1.034782608695652"/>
    <x v="0"/>
    <x v="0"/>
  </r>
  <r>
    <x v="337"/>
    <x v="6"/>
    <x v="6"/>
    <x v="37"/>
    <x v="37"/>
    <x v="7"/>
    <n v="61"/>
    <n v="91"/>
    <n v="123"/>
    <n v="5"/>
    <n v="38"/>
    <n v="5"/>
    <n v="24"/>
    <x v="0"/>
    <n v="152"/>
    <n v="24"/>
    <n v="24"/>
    <n v="0"/>
    <n v="0.03289473684210526"/>
    <n v="0.8092105263157895"/>
    <x v="0"/>
    <x v="0"/>
  </r>
  <r>
    <x v="338"/>
    <x v="6"/>
    <x v="6"/>
    <x v="38"/>
    <x v="38"/>
    <x v="8"/>
    <n v="102"/>
    <n v="53"/>
    <n v="109"/>
    <n v="6"/>
    <n v="25"/>
    <n v="3"/>
    <n v="40"/>
    <x v="1"/>
    <n v="155"/>
    <n v="40"/>
    <n v="40"/>
    <n v="0"/>
    <n v="0.03870967741935484"/>
    <n v="0.7032258064516129"/>
    <x v="1"/>
    <x v="0"/>
  </r>
  <r>
    <x v="339"/>
    <x v="6"/>
    <x v="6"/>
    <x v="39"/>
    <x v="39"/>
    <x v="9"/>
    <n v="44"/>
    <n v="61"/>
    <n v="84"/>
    <n v="5"/>
    <n v="17"/>
    <n v="2"/>
    <n v="16"/>
    <x v="0"/>
    <n v="105"/>
    <n v="16"/>
    <n v="16"/>
    <n v="0"/>
    <n v="0.04761904761904762"/>
    <n v="0.8"/>
    <x v="0"/>
    <x v="0"/>
  </r>
  <r>
    <x v="340"/>
    <x v="6"/>
    <x v="6"/>
    <x v="40"/>
    <x v="40"/>
    <x v="10"/>
    <n v="49"/>
    <n v="28"/>
    <n v="41"/>
    <n v="1"/>
    <n v="31"/>
    <n v="5"/>
    <n v="35"/>
    <x v="1"/>
    <n v="77"/>
    <n v="35"/>
    <n v="35"/>
    <n v="0"/>
    <n v="0.01298701298701299"/>
    <n v="0.5324675324675324"/>
    <x v="1"/>
    <x v="0"/>
  </r>
  <r>
    <x v="341"/>
    <x v="6"/>
    <x v="6"/>
    <x v="41"/>
    <x v="41"/>
    <x v="11"/>
    <n v="63"/>
    <n v="50"/>
    <n v="137"/>
    <n v="1"/>
    <n v="22"/>
    <n v="3"/>
    <n v="0"/>
    <x v="0"/>
    <n v="113"/>
    <n v="-25"/>
    <n v="0"/>
    <n v="25"/>
    <n v="0.008849557522123894"/>
    <n v="1.212389380530974"/>
    <x v="0"/>
    <x v="0"/>
  </r>
  <r>
    <x v="342"/>
    <x v="6"/>
    <x v="6"/>
    <x v="42"/>
    <x v="42"/>
    <x v="12"/>
    <n v="83"/>
    <n v="90"/>
    <n v="51"/>
    <n v="2"/>
    <n v="16"/>
    <n v="1"/>
    <n v="120"/>
    <x v="1"/>
    <n v="173"/>
    <n v="120"/>
    <n v="120"/>
    <n v="0"/>
    <n v="0.0115606936416185"/>
    <n v="0.2947976878612717"/>
    <x v="1"/>
    <x v="0"/>
  </r>
  <r>
    <x v="343"/>
    <x v="6"/>
    <x v="6"/>
    <x v="43"/>
    <x v="43"/>
    <x v="13"/>
    <n v="79"/>
    <n v="60"/>
    <n v="120"/>
    <n v="1"/>
    <n v="33"/>
    <n v="5"/>
    <n v="18"/>
    <x v="0"/>
    <n v="139"/>
    <n v="18"/>
    <n v="18"/>
    <n v="0"/>
    <n v="0.007194244604316547"/>
    <n v="0.8633093525179856"/>
    <x v="0"/>
    <x v="0"/>
  </r>
  <r>
    <x v="344"/>
    <x v="6"/>
    <x v="6"/>
    <x v="44"/>
    <x v="44"/>
    <x v="14"/>
    <n v="104"/>
    <n v="22"/>
    <n v="43"/>
    <n v="0"/>
    <n v="32"/>
    <n v="4"/>
    <n v="83"/>
    <x v="1"/>
    <n v="126"/>
    <n v="83"/>
    <n v="83"/>
    <n v="0"/>
    <n v="0"/>
    <n v="0.3412698412698413"/>
    <x v="1"/>
    <x v="0"/>
  </r>
  <r>
    <x v="345"/>
    <x v="6"/>
    <x v="6"/>
    <x v="45"/>
    <x v="45"/>
    <x v="0"/>
    <n v="111"/>
    <n v="35"/>
    <n v="112"/>
    <n v="0"/>
    <n v="35"/>
    <n v="2"/>
    <n v="34"/>
    <x v="0"/>
    <n v="146"/>
    <n v="34"/>
    <n v="34"/>
    <n v="0"/>
    <n v="0"/>
    <n v="0.7671232876712328"/>
    <x v="0"/>
    <x v="0"/>
  </r>
  <r>
    <x v="346"/>
    <x v="6"/>
    <x v="6"/>
    <x v="46"/>
    <x v="46"/>
    <x v="1"/>
    <n v="103"/>
    <n v="38"/>
    <n v="57"/>
    <n v="0"/>
    <n v="35"/>
    <n v="5"/>
    <n v="84"/>
    <x v="1"/>
    <n v="141"/>
    <n v="84"/>
    <n v="84"/>
    <n v="0"/>
    <n v="0"/>
    <n v="0.4042553191489361"/>
    <x v="1"/>
    <x v="0"/>
  </r>
  <r>
    <x v="347"/>
    <x v="6"/>
    <x v="6"/>
    <x v="47"/>
    <x v="47"/>
    <x v="2"/>
    <n v="116"/>
    <n v="80"/>
    <n v="49"/>
    <n v="0"/>
    <n v="22"/>
    <n v="1"/>
    <n v="147"/>
    <x v="1"/>
    <n v="196"/>
    <n v="147"/>
    <n v="147"/>
    <n v="0"/>
    <n v="0"/>
    <n v="0.25"/>
    <x v="1"/>
    <x v="0"/>
  </r>
  <r>
    <x v="348"/>
    <x v="6"/>
    <x v="6"/>
    <x v="48"/>
    <x v="48"/>
    <x v="3"/>
    <n v="143"/>
    <n v="69"/>
    <n v="116"/>
    <n v="0"/>
    <n v="15"/>
    <n v="3"/>
    <n v="96"/>
    <x v="1"/>
    <n v="212"/>
    <n v="96"/>
    <n v="96"/>
    <n v="0"/>
    <n v="0"/>
    <n v="0.5471698113207547"/>
    <x v="1"/>
    <x v="0"/>
  </r>
  <r>
    <x v="349"/>
    <x v="6"/>
    <x v="6"/>
    <x v="49"/>
    <x v="49"/>
    <x v="4"/>
    <n v="116"/>
    <n v="23"/>
    <n v="39"/>
    <n v="0"/>
    <n v="30"/>
    <n v="4"/>
    <n v="100"/>
    <x v="1"/>
    <n v="139"/>
    <n v="100"/>
    <n v="100"/>
    <n v="0"/>
    <n v="0"/>
    <n v="0.2805755395683453"/>
    <x v="1"/>
    <x v="0"/>
  </r>
  <r>
    <x v="350"/>
    <x v="7"/>
    <x v="7"/>
    <x v="0"/>
    <x v="0"/>
    <x v="0"/>
    <n v="53"/>
    <n v="27"/>
    <n v="119"/>
    <n v="2"/>
    <n v="38"/>
    <n v="4"/>
    <n v="0"/>
    <x v="0"/>
    <n v="80"/>
    <n v="-41"/>
    <n v="0"/>
    <n v="41"/>
    <n v="0.025"/>
    <n v="1.4875"/>
    <x v="0"/>
    <x v="0"/>
  </r>
  <r>
    <x v="351"/>
    <x v="7"/>
    <x v="7"/>
    <x v="1"/>
    <x v="1"/>
    <x v="1"/>
    <n v="47"/>
    <n v="69"/>
    <n v="100"/>
    <n v="2"/>
    <n v="36"/>
    <n v="4"/>
    <n v="14"/>
    <x v="0"/>
    <n v="116"/>
    <n v="14"/>
    <n v="14"/>
    <n v="0"/>
    <n v="0.01724137931034483"/>
    <n v="0.8620689655172413"/>
    <x v="0"/>
    <x v="0"/>
  </r>
  <r>
    <x v="352"/>
    <x v="7"/>
    <x v="7"/>
    <x v="2"/>
    <x v="2"/>
    <x v="2"/>
    <n v="113"/>
    <n v="89"/>
    <n v="113"/>
    <n v="3"/>
    <n v="28"/>
    <n v="3"/>
    <n v="86"/>
    <x v="1"/>
    <n v="202"/>
    <n v="86"/>
    <n v="86"/>
    <n v="0"/>
    <n v="0.01485148514851485"/>
    <n v="0.5594059405940595"/>
    <x v="1"/>
    <x v="0"/>
  </r>
  <r>
    <x v="353"/>
    <x v="7"/>
    <x v="7"/>
    <x v="3"/>
    <x v="3"/>
    <x v="3"/>
    <n v="102"/>
    <n v="40"/>
    <n v="61"/>
    <n v="1"/>
    <n v="20"/>
    <n v="1"/>
    <n v="80"/>
    <x v="1"/>
    <n v="142"/>
    <n v="80"/>
    <n v="80"/>
    <n v="0"/>
    <n v="0.007042253521126761"/>
    <n v="0.4295774647887324"/>
    <x v="1"/>
    <x v="0"/>
  </r>
  <r>
    <x v="354"/>
    <x v="7"/>
    <x v="7"/>
    <x v="4"/>
    <x v="4"/>
    <x v="4"/>
    <n v="80"/>
    <n v="71"/>
    <n v="59"/>
    <n v="3"/>
    <n v="24"/>
    <n v="4"/>
    <n v="89"/>
    <x v="1"/>
    <n v="151"/>
    <n v="89"/>
    <n v="89"/>
    <n v="0"/>
    <n v="0.01986754966887417"/>
    <n v="0.3907284768211921"/>
    <x v="1"/>
    <x v="0"/>
  </r>
  <r>
    <x v="355"/>
    <x v="7"/>
    <x v="7"/>
    <x v="5"/>
    <x v="5"/>
    <x v="5"/>
    <n v="118"/>
    <n v="83"/>
    <n v="124"/>
    <n v="1"/>
    <n v="29"/>
    <n v="2"/>
    <n v="76"/>
    <x v="1"/>
    <n v="201"/>
    <n v="76"/>
    <n v="76"/>
    <n v="0"/>
    <n v="0.004975124378109453"/>
    <n v="0.6169154228855721"/>
    <x v="1"/>
    <x v="0"/>
  </r>
  <r>
    <x v="356"/>
    <x v="7"/>
    <x v="7"/>
    <x v="6"/>
    <x v="6"/>
    <x v="6"/>
    <n v="129"/>
    <n v="63"/>
    <n v="119"/>
    <n v="0"/>
    <n v="20"/>
    <n v="1"/>
    <n v="73"/>
    <x v="1"/>
    <n v="192"/>
    <n v="73"/>
    <n v="73"/>
    <n v="0"/>
    <n v="0"/>
    <n v="0.6197916666666666"/>
    <x v="1"/>
    <x v="0"/>
  </r>
  <r>
    <x v="357"/>
    <x v="7"/>
    <x v="7"/>
    <x v="7"/>
    <x v="7"/>
    <x v="7"/>
    <n v="136"/>
    <n v="72"/>
    <n v="68"/>
    <n v="2"/>
    <n v="40"/>
    <n v="2"/>
    <n v="138"/>
    <x v="1"/>
    <n v="208"/>
    <n v="138"/>
    <n v="138"/>
    <n v="0"/>
    <n v="0.009615384615384616"/>
    <n v="0.3269230769230769"/>
    <x v="1"/>
    <x v="0"/>
  </r>
  <r>
    <x v="358"/>
    <x v="7"/>
    <x v="7"/>
    <x v="8"/>
    <x v="8"/>
    <x v="8"/>
    <n v="95"/>
    <n v="93"/>
    <n v="70"/>
    <n v="2"/>
    <n v="38"/>
    <n v="1"/>
    <n v="116"/>
    <x v="1"/>
    <n v="188"/>
    <n v="116"/>
    <n v="116"/>
    <n v="0"/>
    <n v="0.01063829787234043"/>
    <n v="0.3723404255319149"/>
    <x v="1"/>
    <x v="0"/>
  </r>
  <r>
    <x v="359"/>
    <x v="7"/>
    <x v="7"/>
    <x v="9"/>
    <x v="9"/>
    <x v="9"/>
    <n v="93"/>
    <n v="94"/>
    <n v="57"/>
    <n v="3"/>
    <n v="23"/>
    <n v="4"/>
    <n v="127"/>
    <x v="1"/>
    <n v="187"/>
    <n v="127"/>
    <n v="127"/>
    <n v="0"/>
    <n v="0.0160427807486631"/>
    <n v="0.3048128342245989"/>
    <x v="1"/>
    <x v="0"/>
  </r>
  <r>
    <x v="360"/>
    <x v="7"/>
    <x v="7"/>
    <x v="10"/>
    <x v="10"/>
    <x v="10"/>
    <n v="60"/>
    <n v="28"/>
    <n v="73"/>
    <n v="0"/>
    <n v="20"/>
    <n v="4"/>
    <n v="15"/>
    <x v="0"/>
    <n v="88"/>
    <n v="15"/>
    <n v="15"/>
    <n v="0"/>
    <n v="0"/>
    <n v="0.8295454545454546"/>
    <x v="0"/>
    <x v="0"/>
  </r>
  <r>
    <x v="361"/>
    <x v="7"/>
    <x v="7"/>
    <x v="11"/>
    <x v="11"/>
    <x v="11"/>
    <n v="130"/>
    <n v="29"/>
    <n v="37"/>
    <n v="2"/>
    <n v="33"/>
    <n v="4"/>
    <n v="120"/>
    <x v="1"/>
    <n v="159"/>
    <n v="120"/>
    <n v="120"/>
    <n v="0"/>
    <n v="0.01257861635220126"/>
    <n v="0.2327044025157233"/>
    <x v="1"/>
    <x v="0"/>
  </r>
  <r>
    <x v="362"/>
    <x v="7"/>
    <x v="7"/>
    <x v="12"/>
    <x v="12"/>
    <x v="12"/>
    <n v="57"/>
    <n v="79"/>
    <n v="95"/>
    <n v="3"/>
    <n v="15"/>
    <n v="4"/>
    <n v="38"/>
    <x v="1"/>
    <n v="136"/>
    <n v="38"/>
    <n v="38"/>
    <n v="0"/>
    <n v="0.02205882352941177"/>
    <n v="0.6985294117647058"/>
    <x v="1"/>
    <x v="0"/>
  </r>
  <r>
    <x v="363"/>
    <x v="7"/>
    <x v="7"/>
    <x v="13"/>
    <x v="13"/>
    <x v="13"/>
    <n v="93"/>
    <n v="100"/>
    <n v="69"/>
    <n v="3"/>
    <n v="30"/>
    <n v="2"/>
    <n v="121"/>
    <x v="1"/>
    <n v="193"/>
    <n v="121"/>
    <n v="121"/>
    <n v="0"/>
    <n v="0.0155440414507772"/>
    <n v="0.3575129533678756"/>
    <x v="1"/>
    <x v="0"/>
  </r>
  <r>
    <x v="364"/>
    <x v="7"/>
    <x v="7"/>
    <x v="14"/>
    <x v="14"/>
    <x v="14"/>
    <n v="72"/>
    <n v="26"/>
    <n v="47"/>
    <n v="0"/>
    <n v="34"/>
    <n v="2"/>
    <n v="51"/>
    <x v="1"/>
    <n v="98"/>
    <n v="51"/>
    <n v="51"/>
    <n v="0"/>
    <n v="0"/>
    <n v="0.4795918367346939"/>
    <x v="1"/>
    <x v="0"/>
  </r>
  <r>
    <x v="365"/>
    <x v="7"/>
    <x v="7"/>
    <x v="15"/>
    <x v="15"/>
    <x v="0"/>
    <n v="47"/>
    <n v="41"/>
    <n v="52"/>
    <n v="0"/>
    <n v="33"/>
    <n v="1"/>
    <n v="36"/>
    <x v="1"/>
    <n v="88"/>
    <n v="36"/>
    <n v="36"/>
    <n v="0"/>
    <n v="0"/>
    <n v="0.5909090909090909"/>
    <x v="1"/>
    <x v="0"/>
  </r>
  <r>
    <x v="366"/>
    <x v="7"/>
    <x v="7"/>
    <x v="16"/>
    <x v="16"/>
    <x v="1"/>
    <n v="100"/>
    <n v="70"/>
    <n v="44"/>
    <n v="2"/>
    <n v="34"/>
    <n v="1"/>
    <n v="124"/>
    <x v="1"/>
    <n v="170"/>
    <n v="124"/>
    <n v="124"/>
    <n v="0"/>
    <n v="0.01176470588235294"/>
    <n v="0.2588235294117647"/>
    <x v="1"/>
    <x v="0"/>
  </r>
  <r>
    <x v="367"/>
    <x v="7"/>
    <x v="7"/>
    <x v="17"/>
    <x v="17"/>
    <x v="2"/>
    <n v="68"/>
    <n v="67"/>
    <n v="106"/>
    <n v="1"/>
    <n v="25"/>
    <n v="5"/>
    <n v="28"/>
    <x v="1"/>
    <n v="135"/>
    <n v="28"/>
    <n v="28"/>
    <n v="0"/>
    <n v="0.007407407407407408"/>
    <n v="0.7851851851851852"/>
    <x v="1"/>
    <x v="0"/>
  </r>
  <r>
    <x v="368"/>
    <x v="7"/>
    <x v="7"/>
    <x v="18"/>
    <x v="18"/>
    <x v="3"/>
    <n v="137"/>
    <n v="63"/>
    <n v="120"/>
    <n v="2"/>
    <n v="17"/>
    <n v="3"/>
    <n v="78"/>
    <x v="1"/>
    <n v="200"/>
    <n v="78"/>
    <n v="78"/>
    <n v="0"/>
    <n v="0.01"/>
    <n v="0.6"/>
    <x v="1"/>
    <x v="0"/>
  </r>
  <r>
    <x v="369"/>
    <x v="7"/>
    <x v="7"/>
    <x v="19"/>
    <x v="19"/>
    <x v="4"/>
    <n v="142"/>
    <n v="21"/>
    <n v="79"/>
    <n v="1"/>
    <n v="39"/>
    <n v="1"/>
    <n v="83"/>
    <x v="1"/>
    <n v="163"/>
    <n v="83"/>
    <n v="83"/>
    <n v="0"/>
    <n v="0.006134969325153374"/>
    <n v="0.4846625766871165"/>
    <x v="1"/>
    <x v="0"/>
  </r>
  <r>
    <x v="370"/>
    <x v="7"/>
    <x v="7"/>
    <x v="20"/>
    <x v="20"/>
    <x v="5"/>
    <n v="57"/>
    <n v="56"/>
    <n v="63"/>
    <n v="0"/>
    <n v="35"/>
    <n v="2"/>
    <n v="50"/>
    <x v="1"/>
    <n v="113"/>
    <n v="50"/>
    <n v="50"/>
    <n v="0"/>
    <n v="0"/>
    <n v="0.5575221238938053"/>
    <x v="1"/>
    <x v="0"/>
  </r>
  <r>
    <x v="371"/>
    <x v="7"/>
    <x v="7"/>
    <x v="21"/>
    <x v="21"/>
    <x v="6"/>
    <n v="119"/>
    <n v="97"/>
    <n v="48"/>
    <n v="1"/>
    <n v="39"/>
    <n v="5"/>
    <n v="167"/>
    <x v="1"/>
    <n v="216"/>
    <n v="167"/>
    <n v="167"/>
    <n v="0"/>
    <n v="0.004629629629629629"/>
    <n v="0.2222222222222222"/>
    <x v="1"/>
    <x v="0"/>
  </r>
  <r>
    <x v="372"/>
    <x v="7"/>
    <x v="7"/>
    <x v="22"/>
    <x v="22"/>
    <x v="7"/>
    <n v="72"/>
    <n v="36"/>
    <n v="97"/>
    <n v="0"/>
    <n v="26"/>
    <n v="2"/>
    <n v="11"/>
    <x v="0"/>
    <n v="108"/>
    <n v="11"/>
    <n v="11"/>
    <n v="0"/>
    <n v="0"/>
    <n v="0.8981481481481481"/>
    <x v="0"/>
    <x v="0"/>
  </r>
  <r>
    <x v="373"/>
    <x v="7"/>
    <x v="7"/>
    <x v="23"/>
    <x v="23"/>
    <x v="8"/>
    <n v="112"/>
    <n v="57"/>
    <n v="126"/>
    <n v="2"/>
    <n v="38"/>
    <n v="5"/>
    <n v="41"/>
    <x v="1"/>
    <n v="169"/>
    <n v="41"/>
    <n v="41"/>
    <n v="0"/>
    <n v="0.01183431952662722"/>
    <n v="0.7455621301775148"/>
    <x v="1"/>
    <x v="0"/>
  </r>
  <r>
    <x v="374"/>
    <x v="7"/>
    <x v="7"/>
    <x v="24"/>
    <x v="24"/>
    <x v="9"/>
    <n v="113"/>
    <n v="29"/>
    <n v="76"/>
    <n v="2"/>
    <n v="30"/>
    <n v="5"/>
    <n v="64"/>
    <x v="1"/>
    <n v="142"/>
    <n v="64"/>
    <n v="64"/>
    <n v="0"/>
    <n v="0.01408450704225352"/>
    <n v="0.5352112676056338"/>
    <x v="1"/>
    <x v="0"/>
  </r>
  <r>
    <x v="375"/>
    <x v="7"/>
    <x v="7"/>
    <x v="25"/>
    <x v="25"/>
    <x v="10"/>
    <n v="53"/>
    <n v="80"/>
    <n v="109"/>
    <n v="0"/>
    <n v="18"/>
    <n v="4"/>
    <n v="24"/>
    <x v="1"/>
    <n v="133"/>
    <n v="24"/>
    <n v="24"/>
    <n v="0"/>
    <n v="0"/>
    <n v="0.8195488721804511"/>
    <x v="1"/>
    <x v="0"/>
  </r>
  <r>
    <x v="376"/>
    <x v="7"/>
    <x v="7"/>
    <x v="26"/>
    <x v="26"/>
    <x v="11"/>
    <n v="121"/>
    <n v="63"/>
    <n v="119"/>
    <n v="3"/>
    <n v="32"/>
    <n v="3"/>
    <n v="62"/>
    <x v="1"/>
    <n v="184"/>
    <n v="62"/>
    <n v="62"/>
    <n v="0"/>
    <n v="0.01630434782608696"/>
    <n v="0.6467391304347826"/>
    <x v="1"/>
    <x v="0"/>
  </r>
  <r>
    <x v="377"/>
    <x v="7"/>
    <x v="7"/>
    <x v="27"/>
    <x v="27"/>
    <x v="12"/>
    <n v="125"/>
    <n v="53"/>
    <n v="69"/>
    <n v="1"/>
    <n v="34"/>
    <n v="4"/>
    <n v="108"/>
    <x v="1"/>
    <n v="178"/>
    <n v="108"/>
    <n v="108"/>
    <n v="0"/>
    <n v="0.005617977528089887"/>
    <n v="0.3876404494382023"/>
    <x v="1"/>
    <x v="0"/>
  </r>
  <r>
    <x v="378"/>
    <x v="7"/>
    <x v="7"/>
    <x v="28"/>
    <x v="28"/>
    <x v="13"/>
    <n v="100"/>
    <n v="63"/>
    <n v="39"/>
    <n v="2"/>
    <n v="31"/>
    <n v="4"/>
    <n v="122"/>
    <x v="1"/>
    <n v="163"/>
    <n v="122"/>
    <n v="122"/>
    <n v="0"/>
    <n v="0.01226993865030675"/>
    <n v="0.2392638036809816"/>
    <x v="1"/>
    <x v="0"/>
  </r>
  <r>
    <x v="379"/>
    <x v="7"/>
    <x v="7"/>
    <x v="29"/>
    <x v="29"/>
    <x v="14"/>
    <n v="140"/>
    <n v="36"/>
    <n v="86"/>
    <n v="8"/>
    <n v="27"/>
    <n v="5"/>
    <n v="82"/>
    <x v="1"/>
    <n v="176"/>
    <n v="82"/>
    <n v="82"/>
    <n v="0"/>
    <n v="0.04545454545454546"/>
    <n v="0.4886363636363636"/>
    <x v="1"/>
    <x v="0"/>
  </r>
  <r>
    <x v="380"/>
    <x v="7"/>
    <x v="7"/>
    <x v="30"/>
    <x v="30"/>
    <x v="0"/>
    <n v="55"/>
    <n v="74"/>
    <n v="107"/>
    <n v="7"/>
    <n v="20"/>
    <n v="3"/>
    <n v="15"/>
    <x v="0"/>
    <n v="129"/>
    <n v="15"/>
    <n v="15"/>
    <n v="0"/>
    <n v="0.05426356589147287"/>
    <n v="0.8294573643410853"/>
    <x v="0"/>
    <x v="0"/>
  </r>
  <r>
    <x v="381"/>
    <x v="7"/>
    <x v="7"/>
    <x v="31"/>
    <x v="31"/>
    <x v="1"/>
    <n v="104"/>
    <n v="78"/>
    <n v="42"/>
    <n v="5"/>
    <n v="40"/>
    <n v="4"/>
    <n v="135"/>
    <x v="1"/>
    <n v="182"/>
    <n v="135"/>
    <n v="135"/>
    <n v="0"/>
    <n v="0.02747252747252747"/>
    <n v="0.2307692307692308"/>
    <x v="1"/>
    <x v="0"/>
  </r>
  <r>
    <x v="382"/>
    <x v="7"/>
    <x v="7"/>
    <x v="32"/>
    <x v="32"/>
    <x v="2"/>
    <n v="78"/>
    <n v="92"/>
    <n v="138"/>
    <n v="4"/>
    <n v="25"/>
    <n v="4"/>
    <n v="28"/>
    <x v="1"/>
    <n v="170"/>
    <n v="28"/>
    <n v="28"/>
    <n v="0"/>
    <n v="0.02352941176470588"/>
    <n v="0.8117647058823529"/>
    <x v="1"/>
    <x v="0"/>
  </r>
  <r>
    <x v="383"/>
    <x v="7"/>
    <x v="7"/>
    <x v="33"/>
    <x v="33"/>
    <x v="3"/>
    <n v="60"/>
    <n v="56"/>
    <n v="135"/>
    <n v="6"/>
    <n v="17"/>
    <n v="4"/>
    <n v="0"/>
    <x v="0"/>
    <n v="116"/>
    <n v="-25"/>
    <n v="0"/>
    <n v="25"/>
    <n v="0.05172413793103448"/>
    <n v="1.163793103448276"/>
    <x v="0"/>
    <x v="0"/>
  </r>
  <r>
    <x v="384"/>
    <x v="7"/>
    <x v="7"/>
    <x v="34"/>
    <x v="34"/>
    <x v="4"/>
    <n v="118"/>
    <n v="79"/>
    <n v="84"/>
    <n v="4"/>
    <n v="17"/>
    <n v="4"/>
    <n v="109"/>
    <x v="1"/>
    <n v="197"/>
    <n v="109"/>
    <n v="109"/>
    <n v="0"/>
    <n v="0.02030456852791878"/>
    <n v="0.4263959390862944"/>
    <x v="1"/>
    <x v="0"/>
  </r>
  <r>
    <x v="385"/>
    <x v="7"/>
    <x v="7"/>
    <x v="35"/>
    <x v="35"/>
    <x v="5"/>
    <n v="40"/>
    <n v="54"/>
    <n v="37"/>
    <n v="7"/>
    <n v="27"/>
    <n v="3"/>
    <n v="50"/>
    <x v="1"/>
    <n v="94"/>
    <n v="50"/>
    <n v="50"/>
    <n v="0"/>
    <n v="0.07446808510638298"/>
    <n v="0.3936170212765958"/>
    <x v="1"/>
    <x v="0"/>
  </r>
  <r>
    <x v="386"/>
    <x v="7"/>
    <x v="7"/>
    <x v="36"/>
    <x v="36"/>
    <x v="6"/>
    <n v="73"/>
    <n v="24"/>
    <n v="84"/>
    <n v="2"/>
    <n v="22"/>
    <n v="5"/>
    <n v="11"/>
    <x v="0"/>
    <n v="97"/>
    <n v="11"/>
    <n v="11"/>
    <n v="0"/>
    <n v="0.02061855670103093"/>
    <n v="0.865979381443299"/>
    <x v="0"/>
    <x v="0"/>
  </r>
  <r>
    <x v="387"/>
    <x v="7"/>
    <x v="7"/>
    <x v="37"/>
    <x v="37"/>
    <x v="7"/>
    <n v="42"/>
    <n v="81"/>
    <n v="41"/>
    <n v="2"/>
    <n v="26"/>
    <n v="3"/>
    <n v="80"/>
    <x v="1"/>
    <n v="123"/>
    <n v="80"/>
    <n v="80"/>
    <n v="0"/>
    <n v="0.01626016260162602"/>
    <n v="0.3333333333333333"/>
    <x v="1"/>
    <x v="0"/>
  </r>
  <r>
    <x v="388"/>
    <x v="7"/>
    <x v="7"/>
    <x v="38"/>
    <x v="38"/>
    <x v="8"/>
    <n v="146"/>
    <n v="42"/>
    <n v="47"/>
    <n v="3"/>
    <n v="35"/>
    <n v="5"/>
    <n v="138"/>
    <x v="1"/>
    <n v="188"/>
    <n v="138"/>
    <n v="138"/>
    <n v="0"/>
    <n v="0.01595744680851064"/>
    <n v="0.25"/>
    <x v="1"/>
    <x v="0"/>
  </r>
  <r>
    <x v="389"/>
    <x v="7"/>
    <x v="7"/>
    <x v="39"/>
    <x v="39"/>
    <x v="9"/>
    <n v="100"/>
    <n v="77"/>
    <n v="133"/>
    <n v="7"/>
    <n v="23"/>
    <n v="5"/>
    <n v="37"/>
    <x v="1"/>
    <n v="177"/>
    <n v="37"/>
    <n v="37"/>
    <n v="0"/>
    <n v="0.03954802259887006"/>
    <n v="0.751412429378531"/>
    <x v="1"/>
    <x v="0"/>
  </r>
  <r>
    <x v="390"/>
    <x v="7"/>
    <x v="7"/>
    <x v="40"/>
    <x v="40"/>
    <x v="10"/>
    <n v="87"/>
    <n v="37"/>
    <n v="88"/>
    <n v="3"/>
    <n v="20"/>
    <n v="3"/>
    <n v="33"/>
    <x v="1"/>
    <n v="124"/>
    <n v="33"/>
    <n v="33"/>
    <n v="0"/>
    <n v="0.02419354838709677"/>
    <n v="0.7096774193548387"/>
    <x v="1"/>
    <x v="0"/>
  </r>
  <r>
    <x v="391"/>
    <x v="7"/>
    <x v="7"/>
    <x v="41"/>
    <x v="41"/>
    <x v="11"/>
    <n v="108"/>
    <n v="28"/>
    <n v="138"/>
    <n v="2"/>
    <n v="16"/>
    <n v="4"/>
    <n v="0"/>
    <x v="0"/>
    <n v="136"/>
    <n v="-4"/>
    <n v="0"/>
    <n v="4"/>
    <n v="0.01470588235294118"/>
    <n v="1.014705882352941"/>
    <x v="0"/>
    <x v="0"/>
  </r>
  <r>
    <x v="392"/>
    <x v="7"/>
    <x v="7"/>
    <x v="42"/>
    <x v="42"/>
    <x v="12"/>
    <n v="135"/>
    <n v="72"/>
    <n v="119"/>
    <n v="3"/>
    <n v="31"/>
    <n v="1"/>
    <n v="85"/>
    <x v="1"/>
    <n v="207"/>
    <n v="85"/>
    <n v="85"/>
    <n v="0"/>
    <n v="0.01449275362318841"/>
    <n v="0.5748792270531401"/>
    <x v="1"/>
    <x v="0"/>
  </r>
  <r>
    <x v="393"/>
    <x v="7"/>
    <x v="7"/>
    <x v="43"/>
    <x v="43"/>
    <x v="13"/>
    <n v="149"/>
    <n v="78"/>
    <n v="74"/>
    <n v="3"/>
    <n v="29"/>
    <n v="3"/>
    <n v="150"/>
    <x v="1"/>
    <n v="227"/>
    <n v="150"/>
    <n v="150"/>
    <n v="0"/>
    <n v="0.013215859030837"/>
    <n v="0.3259911894273128"/>
    <x v="1"/>
    <x v="0"/>
  </r>
  <r>
    <x v="394"/>
    <x v="7"/>
    <x v="7"/>
    <x v="44"/>
    <x v="44"/>
    <x v="14"/>
    <n v="70"/>
    <n v="20"/>
    <n v="56"/>
    <n v="0"/>
    <n v="36"/>
    <n v="2"/>
    <n v="34"/>
    <x v="0"/>
    <n v="90"/>
    <n v="34"/>
    <n v="34"/>
    <n v="0"/>
    <n v="0"/>
    <n v="0.6222222222222222"/>
    <x v="0"/>
    <x v="0"/>
  </r>
  <r>
    <x v="395"/>
    <x v="7"/>
    <x v="7"/>
    <x v="45"/>
    <x v="45"/>
    <x v="0"/>
    <n v="109"/>
    <n v="30"/>
    <n v="59"/>
    <n v="2"/>
    <n v="34"/>
    <n v="4"/>
    <n v="78"/>
    <x v="1"/>
    <n v="139"/>
    <n v="78"/>
    <n v="78"/>
    <n v="0"/>
    <n v="0.01438848920863309"/>
    <n v="0.4244604316546763"/>
    <x v="1"/>
    <x v="0"/>
  </r>
  <r>
    <x v="396"/>
    <x v="7"/>
    <x v="7"/>
    <x v="46"/>
    <x v="46"/>
    <x v="1"/>
    <n v="146"/>
    <n v="84"/>
    <n v="125"/>
    <n v="3"/>
    <n v="25"/>
    <n v="2"/>
    <n v="102"/>
    <x v="1"/>
    <n v="230"/>
    <n v="102"/>
    <n v="102"/>
    <n v="0"/>
    <n v="0.01304347826086956"/>
    <n v="0.5434782608695652"/>
    <x v="1"/>
    <x v="0"/>
  </r>
  <r>
    <x v="397"/>
    <x v="7"/>
    <x v="7"/>
    <x v="47"/>
    <x v="47"/>
    <x v="2"/>
    <n v="85"/>
    <n v="86"/>
    <n v="76"/>
    <n v="0"/>
    <n v="37"/>
    <n v="1"/>
    <n v="95"/>
    <x v="1"/>
    <n v="171"/>
    <n v="95"/>
    <n v="95"/>
    <n v="0"/>
    <n v="0"/>
    <n v="0.4444444444444444"/>
    <x v="1"/>
    <x v="0"/>
  </r>
  <r>
    <x v="398"/>
    <x v="7"/>
    <x v="7"/>
    <x v="48"/>
    <x v="48"/>
    <x v="3"/>
    <n v="105"/>
    <n v="73"/>
    <n v="57"/>
    <n v="3"/>
    <n v="16"/>
    <n v="2"/>
    <n v="118"/>
    <x v="1"/>
    <n v="178"/>
    <n v="118"/>
    <n v="118"/>
    <n v="0"/>
    <n v="0.01685393258426966"/>
    <n v="0.3202247191011236"/>
    <x v="1"/>
    <x v="0"/>
  </r>
  <r>
    <x v="399"/>
    <x v="7"/>
    <x v="7"/>
    <x v="49"/>
    <x v="49"/>
    <x v="4"/>
    <n v="83"/>
    <n v="61"/>
    <n v="110"/>
    <n v="2"/>
    <n v="25"/>
    <n v="2"/>
    <n v="32"/>
    <x v="1"/>
    <n v="144"/>
    <n v="32"/>
    <n v="32"/>
    <n v="0"/>
    <n v="0.01388888888888889"/>
    <n v="0.7638888888888888"/>
    <x v="1"/>
    <x v="0"/>
  </r>
  <r>
    <x v="400"/>
    <x v="8"/>
    <x v="8"/>
    <x v="0"/>
    <x v="0"/>
    <x v="0"/>
    <n v="66"/>
    <n v="37"/>
    <n v="94"/>
    <n v="0"/>
    <n v="30"/>
    <n v="1"/>
    <n v="9"/>
    <x v="0"/>
    <n v="103"/>
    <n v="9"/>
    <n v="9"/>
    <n v="0"/>
    <n v="0"/>
    <n v="0.912621359223301"/>
    <x v="0"/>
    <x v="0"/>
  </r>
  <r>
    <x v="401"/>
    <x v="8"/>
    <x v="8"/>
    <x v="1"/>
    <x v="1"/>
    <x v="1"/>
    <n v="74"/>
    <n v="32"/>
    <n v="96"/>
    <n v="1"/>
    <n v="30"/>
    <n v="5"/>
    <n v="9"/>
    <x v="0"/>
    <n v="106"/>
    <n v="9"/>
    <n v="9"/>
    <n v="0"/>
    <n v="0.009433962264150943"/>
    <n v="0.9056603773584906"/>
    <x v="0"/>
    <x v="0"/>
  </r>
  <r>
    <x v="402"/>
    <x v="8"/>
    <x v="8"/>
    <x v="2"/>
    <x v="2"/>
    <x v="2"/>
    <n v="88"/>
    <n v="83"/>
    <n v="134"/>
    <n v="0"/>
    <n v="29"/>
    <n v="3"/>
    <n v="37"/>
    <x v="1"/>
    <n v="171"/>
    <n v="37"/>
    <n v="37"/>
    <n v="0"/>
    <n v="0"/>
    <n v="0.783625730994152"/>
    <x v="1"/>
    <x v="0"/>
  </r>
  <r>
    <x v="403"/>
    <x v="8"/>
    <x v="8"/>
    <x v="3"/>
    <x v="3"/>
    <x v="3"/>
    <n v="103"/>
    <n v="20"/>
    <n v="38"/>
    <n v="3"/>
    <n v="30"/>
    <n v="3"/>
    <n v="82"/>
    <x v="1"/>
    <n v="123"/>
    <n v="82"/>
    <n v="82"/>
    <n v="0"/>
    <n v="0.02439024390243903"/>
    <n v="0.3089430894308943"/>
    <x v="1"/>
    <x v="0"/>
  </r>
  <r>
    <x v="404"/>
    <x v="8"/>
    <x v="8"/>
    <x v="4"/>
    <x v="4"/>
    <x v="4"/>
    <n v="139"/>
    <n v="69"/>
    <n v="92"/>
    <n v="1"/>
    <n v="40"/>
    <n v="5"/>
    <n v="115"/>
    <x v="1"/>
    <n v="208"/>
    <n v="115"/>
    <n v="115"/>
    <n v="0"/>
    <n v="0.004807692307692308"/>
    <n v="0.4423076923076923"/>
    <x v="1"/>
    <x v="0"/>
  </r>
  <r>
    <x v="405"/>
    <x v="8"/>
    <x v="8"/>
    <x v="5"/>
    <x v="5"/>
    <x v="5"/>
    <n v="67"/>
    <n v="73"/>
    <n v="37"/>
    <n v="0"/>
    <n v="27"/>
    <n v="3"/>
    <n v="103"/>
    <x v="1"/>
    <n v="140"/>
    <n v="103"/>
    <n v="103"/>
    <n v="0"/>
    <n v="0"/>
    <n v="0.2642857142857143"/>
    <x v="1"/>
    <x v="0"/>
  </r>
  <r>
    <x v="406"/>
    <x v="8"/>
    <x v="8"/>
    <x v="6"/>
    <x v="6"/>
    <x v="6"/>
    <n v="42"/>
    <n v="64"/>
    <n v="48"/>
    <n v="0"/>
    <n v="38"/>
    <n v="5"/>
    <n v="58"/>
    <x v="1"/>
    <n v="106"/>
    <n v="58"/>
    <n v="58"/>
    <n v="0"/>
    <n v="0"/>
    <n v="0.4528301886792453"/>
    <x v="1"/>
    <x v="0"/>
  </r>
  <r>
    <x v="407"/>
    <x v="8"/>
    <x v="8"/>
    <x v="7"/>
    <x v="7"/>
    <x v="7"/>
    <n v="78"/>
    <n v="21"/>
    <n v="77"/>
    <n v="2"/>
    <n v="34"/>
    <n v="2"/>
    <n v="20"/>
    <x v="0"/>
    <n v="99"/>
    <n v="20"/>
    <n v="20"/>
    <n v="0"/>
    <n v="0.0202020202020202"/>
    <n v="0.7777777777777778"/>
    <x v="0"/>
    <x v="0"/>
  </r>
  <r>
    <x v="408"/>
    <x v="8"/>
    <x v="8"/>
    <x v="8"/>
    <x v="8"/>
    <x v="8"/>
    <n v="51"/>
    <n v="30"/>
    <n v="80"/>
    <n v="1"/>
    <n v="22"/>
    <n v="3"/>
    <n v="0"/>
    <x v="0"/>
    <n v="81"/>
    <n v="0"/>
    <n v="0"/>
    <n v="0"/>
    <n v="0.01234567901234568"/>
    <n v="0.9876543209876543"/>
    <x v="0"/>
    <x v="0"/>
  </r>
  <r>
    <x v="409"/>
    <x v="8"/>
    <x v="8"/>
    <x v="9"/>
    <x v="9"/>
    <x v="9"/>
    <n v="137"/>
    <n v="57"/>
    <n v="54"/>
    <n v="2"/>
    <n v="16"/>
    <n v="2"/>
    <n v="138"/>
    <x v="1"/>
    <n v="194"/>
    <n v="138"/>
    <n v="138"/>
    <n v="0"/>
    <n v="0.01030927835051546"/>
    <n v="0.2783505154639175"/>
    <x v="1"/>
    <x v="0"/>
  </r>
  <r>
    <x v="410"/>
    <x v="8"/>
    <x v="8"/>
    <x v="10"/>
    <x v="10"/>
    <x v="10"/>
    <n v="93"/>
    <n v="92"/>
    <n v="109"/>
    <n v="1"/>
    <n v="29"/>
    <n v="5"/>
    <n v="75"/>
    <x v="1"/>
    <n v="185"/>
    <n v="75"/>
    <n v="75"/>
    <n v="0"/>
    <n v="0.005405405405405406"/>
    <n v="0.5891891891891892"/>
    <x v="1"/>
    <x v="0"/>
  </r>
  <r>
    <x v="411"/>
    <x v="8"/>
    <x v="8"/>
    <x v="11"/>
    <x v="11"/>
    <x v="11"/>
    <n v="57"/>
    <n v="67"/>
    <n v="116"/>
    <n v="3"/>
    <n v="34"/>
    <n v="4"/>
    <n v="5"/>
    <x v="0"/>
    <n v="124"/>
    <n v="5"/>
    <n v="5"/>
    <n v="0"/>
    <n v="0.02419354838709677"/>
    <n v="0.9354838709677419"/>
    <x v="0"/>
    <x v="0"/>
  </r>
  <r>
    <x v="412"/>
    <x v="8"/>
    <x v="8"/>
    <x v="12"/>
    <x v="12"/>
    <x v="12"/>
    <n v="106"/>
    <n v="56"/>
    <n v="113"/>
    <n v="2"/>
    <n v="39"/>
    <n v="2"/>
    <n v="47"/>
    <x v="1"/>
    <n v="162"/>
    <n v="47"/>
    <n v="47"/>
    <n v="0"/>
    <n v="0.01234567901234568"/>
    <n v="0.6975308641975309"/>
    <x v="1"/>
    <x v="0"/>
  </r>
  <r>
    <x v="413"/>
    <x v="8"/>
    <x v="8"/>
    <x v="13"/>
    <x v="13"/>
    <x v="13"/>
    <n v="109"/>
    <n v="46"/>
    <n v="117"/>
    <n v="0"/>
    <n v="24"/>
    <n v="2"/>
    <n v="38"/>
    <x v="1"/>
    <n v="155"/>
    <n v="38"/>
    <n v="38"/>
    <n v="0"/>
    <n v="0"/>
    <n v="0.7548387096774194"/>
    <x v="1"/>
    <x v="0"/>
  </r>
  <r>
    <x v="414"/>
    <x v="8"/>
    <x v="8"/>
    <x v="14"/>
    <x v="14"/>
    <x v="14"/>
    <n v="113"/>
    <n v="92"/>
    <n v="46"/>
    <n v="3"/>
    <n v="37"/>
    <n v="3"/>
    <n v="156"/>
    <x v="1"/>
    <n v="205"/>
    <n v="156"/>
    <n v="156"/>
    <n v="0"/>
    <n v="0.01463414634146342"/>
    <n v="0.224390243902439"/>
    <x v="1"/>
    <x v="0"/>
  </r>
  <r>
    <x v="415"/>
    <x v="8"/>
    <x v="8"/>
    <x v="15"/>
    <x v="15"/>
    <x v="0"/>
    <n v="123"/>
    <n v="55"/>
    <n v="112"/>
    <n v="0"/>
    <n v="26"/>
    <n v="4"/>
    <n v="66"/>
    <x v="1"/>
    <n v="178"/>
    <n v="66"/>
    <n v="66"/>
    <n v="0"/>
    <n v="0"/>
    <n v="0.6292134831460674"/>
    <x v="1"/>
    <x v="0"/>
  </r>
  <r>
    <x v="416"/>
    <x v="8"/>
    <x v="8"/>
    <x v="16"/>
    <x v="16"/>
    <x v="1"/>
    <n v="101"/>
    <n v="97"/>
    <n v="43"/>
    <n v="3"/>
    <n v="15"/>
    <n v="3"/>
    <n v="152"/>
    <x v="1"/>
    <n v="198"/>
    <n v="152"/>
    <n v="152"/>
    <n v="0"/>
    <n v="0.01515151515151515"/>
    <n v="0.2171717171717172"/>
    <x v="1"/>
    <x v="0"/>
  </r>
  <r>
    <x v="417"/>
    <x v="8"/>
    <x v="8"/>
    <x v="17"/>
    <x v="17"/>
    <x v="2"/>
    <n v="81"/>
    <n v="66"/>
    <n v="103"/>
    <n v="2"/>
    <n v="30"/>
    <n v="4"/>
    <n v="42"/>
    <x v="1"/>
    <n v="147"/>
    <n v="42"/>
    <n v="42"/>
    <n v="0"/>
    <n v="0.01360544217687075"/>
    <n v="0.7006802721088435"/>
    <x v="1"/>
    <x v="0"/>
  </r>
  <r>
    <x v="418"/>
    <x v="8"/>
    <x v="8"/>
    <x v="18"/>
    <x v="18"/>
    <x v="3"/>
    <n v="142"/>
    <n v="34"/>
    <n v="106"/>
    <n v="3"/>
    <n v="30"/>
    <n v="3"/>
    <n v="67"/>
    <x v="1"/>
    <n v="176"/>
    <n v="67"/>
    <n v="67"/>
    <n v="0"/>
    <n v="0.01704545454545454"/>
    <n v="0.6022727272727273"/>
    <x v="1"/>
    <x v="0"/>
  </r>
  <r>
    <x v="419"/>
    <x v="8"/>
    <x v="8"/>
    <x v="19"/>
    <x v="19"/>
    <x v="4"/>
    <n v="109"/>
    <n v="96"/>
    <n v="44"/>
    <n v="1"/>
    <n v="20"/>
    <n v="1"/>
    <n v="160"/>
    <x v="1"/>
    <n v="205"/>
    <n v="160"/>
    <n v="160"/>
    <n v="0"/>
    <n v="0.004878048780487805"/>
    <n v="0.2146341463414634"/>
    <x v="1"/>
    <x v="0"/>
  </r>
  <r>
    <x v="420"/>
    <x v="8"/>
    <x v="8"/>
    <x v="20"/>
    <x v="20"/>
    <x v="5"/>
    <n v="131"/>
    <n v="58"/>
    <n v="139"/>
    <n v="0"/>
    <n v="33"/>
    <n v="1"/>
    <n v="50"/>
    <x v="1"/>
    <n v="189"/>
    <n v="50"/>
    <n v="50"/>
    <n v="0"/>
    <n v="0"/>
    <n v="0.7354497354497355"/>
    <x v="1"/>
    <x v="0"/>
  </r>
  <r>
    <x v="421"/>
    <x v="8"/>
    <x v="8"/>
    <x v="21"/>
    <x v="21"/>
    <x v="6"/>
    <n v="109"/>
    <n v="41"/>
    <n v="135"/>
    <n v="3"/>
    <n v="33"/>
    <n v="5"/>
    <n v="12"/>
    <x v="0"/>
    <n v="150"/>
    <n v="12"/>
    <n v="12"/>
    <n v="0"/>
    <n v="0.02"/>
    <n v="0.9"/>
    <x v="0"/>
    <x v="0"/>
  </r>
  <r>
    <x v="422"/>
    <x v="8"/>
    <x v="8"/>
    <x v="22"/>
    <x v="22"/>
    <x v="7"/>
    <n v="62"/>
    <n v="71"/>
    <n v="49"/>
    <n v="3"/>
    <n v="33"/>
    <n v="2"/>
    <n v="81"/>
    <x v="1"/>
    <n v="133"/>
    <n v="81"/>
    <n v="81"/>
    <n v="0"/>
    <n v="0.02255639097744361"/>
    <n v="0.3684210526315789"/>
    <x v="1"/>
    <x v="0"/>
  </r>
  <r>
    <x v="423"/>
    <x v="8"/>
    <x v="8"/>
    <x v="23"/>
    <x v="23"/>
    <x v="8"/>
    <n v="138"/>
    <n v="67"/>
    <n v="101"/>
    <n v="1"/>
    <n v="35"/>
    <n v="2"/>
    <n v="103"/>
    <x v="1"/>
    <n v="205"/>
    <n v="103"/>
    <n v="103"/>
    <n v="0"/>
    <n v="0.004878048780487805"/>
    <n v="0.4926829268292683"/>
    <x v="1"/>
    <x v="0"/>
  </r>
  <r>
    <x v="424"/>
    <x v="8"/>
    <x v="8"/>
    <x v="24"/>
    <x v="24"/>
    <x v="9"/>
    <n v="72"/>
    <n v="100"/>
    <n v="55"/>
    <n v="2"/>
    <n v="26"/>
    <n v="1"/>
    <n v="115"/>
    <x v="1"/>
    <n v="172"/>
    <n v="115"/>
    <n v="115"/>
    <n v="0"/>
    <n v="0.01162790697674419"/>
    <n v="0.3197674418604651"/>
    <x v="1"/>
    <x v="0"/>
  </r>
  <r>
    <x v="425"/>
    <x v="8"/>
    <x v="8"/>
    <x v="25"/>
    <x v="25"/>
    <x v="10"/>
    <n v="146"/>
    <n v="64"/>
    <n v="134"/>
    <n v="0"/>
    <n v="17"/>
    <n v="4"/>
    <n v="76"/>
    <x v="1"/>
    <n v="210"/>
    <n v="76"/>
    <n v="76"/>
    <n v="0"/>
    <n v="0"/>
    <n v="0.638095238095238"/>
    <x v="1"/>
    <x v="0"/>
  </r>
  <r>
    <x v="426"/>
    <x v="8"/>
    <x v="8"/>
    <x v="26"/>
    <x v="26"/>
    <x v="11"/>
    <n v="44"/>
    <n v="36"/>
    <n v="129"/>
    <n v="1"/>
    <n v="37"/>
    <n v="4"/>
    <n v="0"/>
    <x v="0"/>
    <n v="80"/>
    <n v="-50"/>
    <n v="0"/>
    <n v="50"/>
    <n v="0.0125"/>
    <n v="1.6125"/>
    <x v="0"/>
    <x v="0"/>
  </r>
  <r>
    <x v="427"/>
    <x v="8"/>
    <x v="8"/>
    <x v="27"/>
    <x v="27"/>
    <x v="12"/>
    <n v="135"/>
    <n v="40"/>
    <n v="40"/>
    <n v="1"/>
    <n v="21"/>
    <n v="1"/>
    <n v="134"/>
    <x v="1"/>
    <n v="175"/>
    <n v="134"/>
    <n v="134"/>
    <n v="0"/>
    <n v="0.005714285714285714"/>
    <n v="0.2285714285714286"/>
    <x v="1"/>
    <x v="0"/>
  </r>
  <r>
    <x v="428"/>
    <x v="8"/>
    <x v="8"/>
    <x v="28"/>
    <x v="28"/>
    <x v="13"/>
    <n v="82"/>
    <n v="87"/>
    <n v="36"/>
    <n v="3"/>
    <n v="40"/>
    <n v="1"/>
    <n v="130"/>
    <x v="1"/>
    <n v="169"/>
    <n v="130"/>
    <n v="130"/>
    <n v="0"/>
    <n v="0.01775147928994083"/>
    <n v="0.2130177514792899"/>
    <x v="1"/>
    <x v="0"/>
  </r>
  <r>
    <x v="429"/>
    <x v="8"/>
    <x v="8"/>
    <x v="29"/>
    <x v="29"/>
    <x v="14"/>
    <n v="117"/>
    <n v="49"/>
    <n v="92"/>
    <n v="8"/>
    <n v="28"/>
    <n v="5"/>
    <n v="66"/>
    <x v="1"/>
    <n v="166"/>
    <n v="66"/>
    <n v="66"/>
    <n v="0"/>
    <n v="0.04819277108433735"/>
    <n v="0.5542168674698795"/>
    <x v="1"/>
    <x v="0"/>
  </r>
  <r>
    <x v="430"/>
    <x v="8"/>
    <x v="8"/>
    <x v="30"/>
    <x v="30"/>
    <x v="0"/>
    <n v="123"/>
    <n v="45"/>
    <n v="63"/>
    <n v="6"/>
    <n v="38"/>
    <n v="5"/>
    <n v="99"/>
    <x v="1"/>
    <n v="168"/>
    <n v="99"/>
    <n v="99"/>
    <n v="0"/>
    <n v="0.03571428571428571"/>
    <n v="0.375"/>
    <x v="1"/>
    <x v="0"/>
  </r>
  <r>
    <x v="431"/>
    <x v="8"/>
    <x v="8"/>
    <x v="31"/>
    <x v="31"/>
    <x v="1"/>
    <n v="120"/>
    <n v="51"/>
    <n v="72"/>
    <n v="7"/>
    <n v="40"/>
    <n v="2"/>
    <n v="92"/>
    <x v="1"/>
    <n v="171"/>
    <n v="92"/>
    <n v="92"/>
    <n v="0"/>
    <n v="0.04093567251461988"/>
    <n v="0.4210526315789473"/>
    <x v="1"/>
    <x v="0"/>
  </r>
  <r>
    <x v="432"/>
    <x v="8"/>
    <x v="8"/>
    <x v="32"/>
    <x v="32"/>
    <x v="2"/>
    <n v="42"/>
    <n v="82"/>
    <n v="126"/>
    <n v="3"/>
    <n v="29"/>
    <n v="1"/>
    <n v="0"/>
    <x v="0"/>
    <n v="124"/>
    <n v="-5"/>
    <n v="0"/>
    <n v="5"/>
    <n v="0.02419354838709677"/>
    <n v="1.016129032258065"/>
    <x v="0"/>
    <x v="0"/>
  </r>
  <r>
    <x v="433"/>
    <x v="8"/>
    <x v="8"/>
    <x v="33"/>
    <x v="33"/>
    <x v="3"/>
    <n v="74"/>
    <n v="58"/>
    <n v="54"/>
    <n v="8"/>
    <n v="37"/>
    <n v="3"/>
    <n v="70"/>
    <x v="1"/>
    <n v="132"/>
    <n v="70"/>
    <n v="70"/>
    <n v="0"/>
    <n v="0.06060606060606061"/>
    <n v="0.4090909090909091"/>
    <x v="1"/>
    <x v="0"/>
  </r>
  <r>
    <x v="434"/>
    <x v="8"/>
    <x v="8"/>
    <x v="34"/>
    <x v="34"/>
    <x v="4"/>
    <n v="68"/>
    <n v="58"/>
    <n v="118"/>
    <n v="3"/>
    <n v="26"/>
    <n v="1"/>
    <n v="5"/>
    <x v="0"/>
    <n v="126"/>
    <n v="5"/>
    <n v="5"/>
    <n v="0"/>
    <n v="0.02380952380952381"/>
    <n v="0.9365079365079365"/>
    <x v="0"/>
    <x v="0"/>
  </r>
  <r>
    <x v="435"/>
    <x v="8"/>
    <x v="8"/>
    <x v="35"/>
    <x v="35"/>
    <x v="5"/>
    <n v="99"/>
    <n v="45"/>
    <n v="73"/>
    <n v="4"/>
    <n v="22"/>
    <n v="4"/>
    <n v="67"/>
    <x v="1"/>
    <n v="144"/>
    <n v="67"/>
    <n v="67"/>
    <n v="0"/>
    <n v="0.02777777777777778"/>
    <n v="0.5069444444444444"/>
    <x v="1"/>
    <x v="0"/>
  </r>
  <r>
    <x v="436"/>
    <x v="8"/>
    <x v="8"/>
    <x v="36"/>
    <x v="36"/>
    <x v="6"/>
    <n v="44"/>
    <n v="65"/>
    <n v="53"/>
    <n v="5"/>
    <n v="29"/>
    <n v="4"/>
    <n v="51"/>
    <x v="1"/>
    <n v="109"/>
    <n v="51"/>
    <n v="51"/>
    <n v="0"/>
    <n v="0.04587155963302753"/>
    <n v="0.4862385321100918"/>
    <x v="1"/>
    <x v="0"/>
  </r>
  <r>
    <x v="437"/>
    <x v="8"/>
    <x v="8"/>
    <x v="37"/>
    <x v="37"/>
    <x v="7"/>
    <n v="57"/>
    <n v="71"/>
    <n v="84"/>
    <n v="3"/>
    <n v="26"/>
    <n v="5"/>
    <n v="41"/>
    <x v="1"/>
    <n v="128"/>
    <n v="41"/>
    <n v="41"/>
    <n v="0"/>
    <n v="0.0234375"/>
    <n v="0.65625"/>
    <x v="1"/>
    <x v="0"/>
  </r>
  <r>
    <x v="438"/>
    <x v="8"/>
    <x v="8"/>
    <x v="38"/>
    <x v="38"/>
    <x v="8"/>
    <n v="90"/>
    <n v="52"/>
    <n v="36"/>
    <n v="6"/>
    <n v="29"/>
    <n v="2"/>
    <n v="100"/>
    <x v="1"/>
    <n v="142"/>
    <n v="100"/>
    <n v="100"/>
    <n v="0"/>
    <n v="0.04225352112676056"/>
    <n v="0.2535211267605634"/>
    <x v="1"/>
    <x v="0"/>
  </r>
  <r>
    <x v="439"/>
    <x v="8"/>
    <x v="8"/>
    <x v="39"/>
    <x v="39"/>
    <x v="9"/>
    <n v="99"/>
    <n v="49"/>
    <n v="140"/>
    <n v="4"/>
    <n v="27"/>
    <n v="4"/>
    <n v="4"/>
    <x v="0"/>
    <n v="148"/>
    <n v="4"/>
    <n v="4"/>
    <n v="0"/>
    <n v="0.02702702702702703"/>
    <n v="0.9459459459459459"/>
    <x v="0"/>
    <x v="0"/>
  </r>
  <r>
    <x v="440"/>
    <x v="8"/>
    <x v="8"/>
    <x v="40"/>
    <x v="40"/>
    <x v="10"/>
    <n v="55"/>
    <n v="41"/>
    <n v="41"/>
    <n v="1"/>
    <n v="27"/>
    <n v="3"/>
    <n v="54"/>
    <x v="1"/>
    <n v="96"/>
    <n v="54"/>
    <n v="54"/>
    <n v="0"/>
    <n v="0.01041666666666667"/>
    <n v="0.4270833333333333"/>
    <x v="1"/>
    <x v="0"/>
  </r>
  <r>
    <x v="441"/>
    <x v="8"/>
    <x v="8"/>
    <x v="41"/>
    <x v="41"/>
    <x v="11"/>
    <n v="70"/>
    <n v="35"/>
    <n v="130"/>
    <n v="1"/>
    <n v="26"/>
    <n v="3"/>
    <n v="0"/>
    <x v="0"/>
    <n v="105"/>
    <n v="-26"/>
    <n v="0"/>
    <n v="26"/>
    <n v="0.009523809523809525"/>
    <n v="1.238095238095238"/>
    <x v="0"/>
    <x v="0"/>
  </r>
  <r>
    <x v="442"/>
    <x v="8"/>
    <x v="8"/>
    <x v="42"/>
    <x v="42"/>
    <x v="12"/>
    <n v="111"/>
    <n v="41"/>
    <n v="128"/>
    <n v="3"/>
    <n v="37"/>
    <n v="4"/>
    <n v="21"/>
    <x v="0"/>
    <n v="152"/>
    <n v="21"/>
    <n v="21"/>
    <n v="0"/>
    <n v="0.01973684210526316"/>
    <n v="0.8421052631578947"/>
    <x v="0"/>
    <x v="0"/>
  </r>
  <r>
    <x v="443"/>
    <x v="8"/>
    <x v="8"/>
    <x v="43"/>
    <x v="43"/>
    <x v="13"/>
    <n v="66"/>
    <n v="56"/>
    <n v="33"/>
    <n v="3"/>
    <n v="18"/>
    <n v="2"/>
    <n v="86"/>
    <x v="1"/>
    <n v="122"/>
    <n v="86"/>
    <n v="86"/>
    <n v="0"/>
    <n v="0.02459016393442623"/>
    <n v="0.2704918032786885"/>
    <x v="1"/>
    <x v="0"/>
  </r>
  <r>
    <x v="444"/>
    <x v="8"/>
    <x v="8"/>
    <x v="44"/>
    <x v="44"/>
    <x v="14"/>
    <n v="98"/>
    <n v="59"/>
    <n v="132"/>
    <n v="1"/>
    <n v="33"/>
    <n v="2"/>
    <n v="24"/>
    <x v="0"/>
    <n v="157"/>
    <n v="24"/>
    <n v="24"/>
    <n v="0"/>
    <n v="0.006369426751592357"/>
    <n v="0.8407643312101911"/>
    <x v="0"/>
    <x v="0"/>
  </r>
  <r>
    <x v="445"/>
    <x v="8"/>
    <x v="8"/>
    <x v="45"/>
    <x v="45"/>
    <x v="0"/>
    <n v="53"/>
    <n v="65"/>
    <n v="83"/>
    <n v="3"/>
    <n v="33"/>
    <n v="3"/>
    <n v="32"/>
    <x v="0"/>
    <n v="118"/>
    <n v="32"/>
    <n v="32"/>
    <n v="0"/>
    <n v="0.02542372881355932"/>
    <n v="0.7033898305084746"/>
    <x v="0"/>
    <x v="0"/>
  </r>
  <r>
    <x v="446"/>
    <x v="8"/>
    <x v="8"/>
    <x v="46"/>
    <x v="46"/>
    <x v="1"/>
    <n v="130"/>
    <n v="88"/>
    <n v="120"/>
    <n v="2"/>
    <n v="37"/>
    <n v="2"/>
    <n v="96"/>
    <x v="1"/>
    <n v="218"/>
    <n v="96"/>
    <n v="96"/>
    <n v="0"/>
    <n v="0.009174311926605505"/>
    <n v="0.5504587155963303"/>
    <x v="1"/>
    <x v="0"/>
  </r>
  <r>
    <x v="447"/>
    <x v="8"/>
    <x v="8"/>
    <x v="47"/>
    <x v="47"/>
    <x v="2"/>
    <n v="66"/>
    <n v="33"/>
    <n v="51"/>
    <n v="0"/>
    <n v="23"/>
    <n v="5"/>
    <n v="48"/>
    <x v="1"/>
    <n v="99"/>
    <n v="48"/>
    <n v="48"/>
    <n v="0"/>
    <n v="0"/>
    <n v="0.5151515151515151"/>
    <x v="1"/>
    <x v="0"/>
  </r>
  <r>
    <x v="448"/>
    <x v="8"/>
    <x v="8"/>
    <x v="48"/>
    <x v="48"/>
    <x v="3"/>
    <n v="73"/>
    <n v="48"/>
    <n v="139"/>
    <n v="1"/>
    <n v="19"/>
    <n v="4"/>
    <n v="0"/>
    <x v="0"/>
    <n v="121"/>
    <n v="-19"/>
    <n v="0"/>
    <n v="19"/>
    <n v="0.008264462809917356"/>
    <n v="1.148760330578512"/>
    <x v="0"/>
    <x v="0"/>
  </r>
  <r>
    <x v="449"/>
    <x v="8"/>
    <x v="8"/>
    <x v="49"/>
    <x v="49"/>
    <x v="4"/>
    <n v="148"/>
    <n v="68"/>
    <n v="48"/>
    <n v="3"/>
    <n v="24"/>
    <n v="5"/>
    <n v="165"/>
    <x v="1"/>
    <n v="216"/>
    <n v="165"/>
    <n v="165"/>
    <n v="0"/>
    <n v="0.01388888888888889"/>
    <n v="0.2222222222222222"/>
    <x v="1"/>
    <x v="0"/>
  </r>
  <r>
    <x v="450"/>
    <x v="9"/>
    <x v="9"/>
    <x v="0"/>
    <x v="0"/>
    <x v="0"/>
    <n v="118"/>
    <n v="45"/>
    <n v="81"/>
    <n v="2"/>
    <n v="35"/>
    <n v="5"/>
    <n v="80"/>
    <x v="1"/>
    <n v="163"/>
    <n v="80"/>
    <n v="80"/>
    <n v="0"/>
    <n v="0.01226993865030675"/>
    <n v="0.4969325153374233"/>
    <x v="1"/>
    <x v="0"/>
  </r>
  <r>
    <x v="451"/>
    <x v="9"/>
    <x v="9"/>
    <x v="1"/>
    <x v="1"/>
    <x v="1"/>
    <n v="150"/>
    <n v="64"/>
    <n v="89"/>
    <n v="1"/>
    <n v="29"/>
    <n v="5"/>
    <n v="124"/>
    <x v="1"/>
    <n v="214"/>
    <n v="124"/>
    <n v="124"/>
    <n v="0"/>
    <n v="0.004672897196261682"/>
    <n v="0.4158878504672897"/>
    <x v="1"/>
    <x v="0"/>
  </r>
  <r>
    <x v="452"/>
    <x v="9"/>
    <x v="9"/>
    <x v="2"/>
    <x v="2"/>
    <x v="2"/>
    <n v="78"/>
    <n v="48"/>
    <n v="34"/>
    <n v="1"/>
    <n v="32"/>
    <n v="3"/>
    <n v="91"/>
    <x v="1"/>
    <n v="126"/>
    <n v="91"/>
    <n v="91"/>
    <n v="0"/>
    <n v="0.007936507936507936"/>
    <n v="0.2698412698412698"/>
    <x v="1"/>
    <x v="0"/>
  </r>
  <r>
    <x v="453"/>
    <x v="9"/>
    <x v="9"/>
    <x v="3"/>
    <x v="3"/>
    <x v="3"/>
    <n v="88"/>
    <n v="33"/>
    <n v="125"/>
    <n v="3"/>
    <n v="27"/>
    <n v="2"/>
    <n v="0"/>
    <x v="0"/>
    <n v="121"/>
    <n v="-7"/>
    <n v="0"/>
    <n v="7"/>
    <n v="0.02479338842975207"/>
    <n v="1.033057851239669"/>
    <x v="0"/>
    <x v="0"/>
  </r>
  <r>
    <x v="454"/>
    <x v="9"/>
    <x v="9"/>
    <x v="4"/>
    <x v="4"/>
    <x v="4"/>
    <n v="61"/>
    <n v="80"/>
    <n v="100"/>
    <n v="2"/>
    <n v="37"/>
    <n v="5"/>
    <n v="39"/>
    <x v="1"/>
    <n v="141"/>
    <n v="39"/>
    <n v="39"/>
    <n v="0"/>
    <n v="0.01418439716312057"/>
    <n v="0.7092198581560284"/>
    <x v="1"/>
    <x v="0"/>
  </r>
  <r>
    <x v="455"/>
    <x v="9"/>
    <x v="9"/>
    <x v="5"/>
    <x v="5"/>
    <x v="5"/>
    <n v="97"/>
    <n v="33"/>
    <n v="97"/>
    <n v="0"/>
    <n v="31"/>
    <n v="5"/>
    <n v="33"/>
    <x v="1"/>
    <n v="130"/>
    <n v="33"/>
    <n v="33"/>
    <n v="0"/>
    <n v="0"/>
    <n v="0.7461538461538462"/>
    <x v="1"/>
    <x v="0"/>
  </r>
  <r>
    <x v="456"/>
    <x v="9"/>
    <x v="9"/>
    <x v="6"/>
    <x v="6"/>
    <x v="6"/>
    <n v="81"/>
    <n v="83"/>
    <n v="94"/>
    <n v="0"/>
    <n v="20"/>
    <n v="3"/>
    <n v="70"/>
    <x v="1"/>
    <n v="164"/>
    <n v="70"/>
    <n v="70"/>
    <n v="0"/>
    <n v="0"/>
    <n v="0.573170731707317"/>
    <x v="1"/>
    <x v="0"/>
  </r>
  <r>
    <x v="457"/>
    <x v="9"/>
    <x v="9"/>
    <x v="7"/>
    <x v="7"/>
    <x v="7"/>
    <n v="79"/>
    <n v="21"/>
    <n v="73"/>
    <n v="3"/>
    <n v="27"/>
    <n v="3"/>
    <n v="24"/>
    <x v="0"/>
    <n v="100"/>
    <n v="24"/>
    <n v="24"/>
    <n v="0"/>
    <n v="0.03"/>
    <n v="0.73"/>
    <x v="0"/>
    <x v="0"/>
  </r>
  <r>
    <x v="458"/>
    <x v="9"/>
    <x v="9"/>
    <x v="8"/>
    <x v="8"/>
    <x v="8"/>
    <n v="58"/>
    <n v="51"/>
    <n v="132"/>
    <n v="0"/>
    <n v="34"/>
    <n v="3"/>
    <n v="0"/>
    <x v="0"/>
    <n v="109"/>
    <n v="-23"/>
    <n v="0"/>
    <n v="23"/>
    <n v="0"/>
    <n v="1.211009174311927"/>
    <x v="0"/>
    <x v="0"/>
  </r>
  <r>
    <x v="459"/>
    <x v="9"/>
    <x v="9"/>
    <x v="9"/>
    <x v="9"/>
    <x v="9"/>
    <n v="92"/>
    <n v="87"/>
    <n v="77"/>
    <n v="2"/>
    <n v="36"/>
    <n v="5"/>
    <n v="100"/>
    <x v="1"/>
    <n v="179"/>
    <n v="100"/>
    <n v="100"/>
    <n v="0"/>
    <n v="0.0111731843575419"/>
    <n v="0.4301675977653631"/>
    <x v="1"/>
    <x v="0"/>
  </r>
  <r>
    <x v="460"/>
    <x v="9"/>
    <x v="9"/>
    <x v="10"/>
    <x v="10"/>
    <x v="10"/>
    <n v="97"/>
    <n v="87"/>
    <n v="113"/>
    <n v="3"/>
    <n v="19"/>
    <n v="5"/>
    <n v="68"/>
    <x v="1"/>
    <n v="184"/>
    <n v="68"/>
    <n v="68"/>
    <n v="0"/>
    <n v="0.01630434782608696"/>
    <n v="0.6141304347826086"/>
    <x v="1"/>
    <x v="0"/>
  </r>
  <r>
    <x v="461"/>
    <x v="9"/>
    <x v="9"/>
    <x v="11"/>
    <x v="11"/>
    <x v="11"/>
    <n v="124"/>
    <n v="87"/>
    <n v="50"/>
    <n v="2"/>
    <n v="16"/>
    <n v="3"/>
    <n v="159"/>
    <x v="1"/>
    <n v="211"/>
    <n v="159"/>
    <n v="159"/>
    <n v="0"/>
    <n v="0.009478672985781991"/>
    <n v="0.2369668246445498"/>
    <x v="1"/>
    <x v="0"/>
  </r>
  <r>
    <x v="462"/>
    <x v="9"/>
    <x v="9"/>
    <x v="12"/>
    <x v="12"/>
    <x v="12"/>
    <n v="123"/>
    <n v="53"/>
    <n v="73"/>
    <n v="3"/>
    <n v="34"/>
    <n v="4"/>
    <n v="100"/>
    <x v="1"/>
    <n v="176"/>
    <n v="100"/>
    <n v="100"/>
    <n v="0"/>
    <n v="0.01704545454545454"/>
    <n v="0.4147727272727273"/>
    <x v="1"/>
    <x v="0"/>
  </r>
  <r>
    <x v="463"/>
    <x v="9"/>
    <x v="9"/>
    <x v="13"/>
    <x v="13"/>
    <x v="13"/>
    <n v="71"/>
    <n v="30"/>
    <n v="109"/>
    <n v="2"/>
    <n v="20"/>
    <n v="2"/>
    <n v="0"/>
    <x v="0"/>
    <n v="101"/>
    <n v="-10"/>
    <n v="0"/>
    <n v="10"/>
    <n v="0.0198019801980198"/>
    <n v="1.079207920792079"/>
    <x v="0"/>
    <x v="0"/>
  </r>
  <r>
    <x v="464"/>
    <x v="9"/>
    <x v="9"/>
    <x v="14"/>
    <x v="14"/>
    <x v="14"/>
    <n v="54"/>
    <n v="64"/>
    <n v="97"/>
    <n v="2"/>
    <n v="34"/>
    <n v="2"/>
    <n v="19"/>
    <x v="0"/>
    <n v="118"/>
    <n v="19"/>
    <n v="19"/>
    <n v="0"/>
    <n v="0.01694915254237288"/>
    <n v="0.8220338983050848"/>
    <x v="0"/>
    <x v="0"/>
  </r>
  <r>
    <x v="465"/>
    <x v="9"/>
    <x v="9"/>
    <x v="15"/>
    <x v="15"/>
    <x v="0"/>
    <n v="89"/>
    <n v="24"/>
    <n v="131"/>
    <n v="3"/>
    <n v="24"/>
    <n v="5"/>
    <n v="0"/>
    <x v="0"/>
    <n v="113"/>
    <n v="-21"/>
    <n v="0"/>
    <n v="21"/>
    <n v="0.02654867256637168"/>
    <n v="1.15929203539823"/>
    <x v="0"/>
    <x v="0"/>
  </r>
  <r>
    <x v="466"/>
    <x v="9"/>
    <x v="9"/>
    <x v="16"/>
    <x v="16"/>
    <x v="1"/>
    <n v="53"/>
    <n v="26"/>
    <n v="36"/>
    <n v="2"/>
    <n v="21"/>
    <n v="3"/>
    <n v="41"/>
    <x v="1"/>
    <n v="79"/>
    <n v="41"/>
    <n v="41"/>
    <n v="0"/>
    <n v="0.02531645569620253"/>
    <n v="0.4556962025316456"/>
    <x v="1"/>
    <x v="0"/>
  </r>
  <r>
    <x v="467"/>
    <x v="9"/>
    <x v="9"/>
    <x v="17"/>
    <x v="17"/>
    <x v="2"/>
    <n v="102"/>
    <n v="35"/>
    <n v="103"/>
    <n v="3"/>
    <n v="37"/>
    <n v="1"/>
    <n v="31"/>
    <x v="0"/>
    <n v="137"/>
    <n v="31"/>
    <n v="31"/>
    <n v="0"/>
    <n v="0.0218978102189781"/>
    <n v="0.7518248175182481"/>
    <x v="0"/>
    <x v="0"/>
  </r>
  <r>
    <x v="468"/>
    <x v="9"/>
    <x v="9"/>
    <x v="18"/>
    <x v="18"/>
    <x v="3"/>
    <n v="147"/>
    <n v="50"/>
    <n v="32"/>
    <n v="3"/>
    <n v="20"/>
    <n v="1"/>
    <n v="162"/>
    <x v="1"/>
    <n v="197"/>
    <n v="162"/>
    <n v="162"/>
    <n v="0"/>
    <n v="0.01522842639593909"/>
    <n v="0.1624365482233502"/>
    <x v="1"/>
    <x v="0"/>
  </r>
  <r>
    <x v="469"/>
    <x v="9"/>
    <x v="9"/>
    <x v="19"/>
    <x v="19"/>
    <x v="4"/>
    <n v="47"/>
    <n v="34"/>
    <n v="130"/>
    <n v="2"/>
    <n v="37"/>
    <n v="4"/>
    <n v="0"/>
    <x v="0"/>
    <n v="81"/>
    <n v="-51"/>
    <n v="0"/>
    <n v="51"/>
    <n v="0.02469135802469136"/>
    <n v="1.604938271604938"/>
    <x v="0"/>
    <x v="0"/>
  </r>
  <r>
    <x v="470"/>
    <x v="9"/>
    <x v="9"/>
    <x v="20"/>
    <x v="20"/>
    <x v="5"/>
    <n v="100"/>
    <n v="61"/>
    <n v="109"/>
    <n v="2"/>
    <n v="24"/>
    <n v="3"/>
    <n v="50"/>
    <x v="1"/>
    <n v="161"/>
    <n v="50"/>
    <n v="50"/>
    <n v="0"/>
    <n v="0.0124223602484472"/>
    <n v="0.6770186335403726"/>
    <x v="1"/>
    <x v="0"/>
  </r>
  <r>
    <x v="471"/>
    <x v="9"/>
    <x v="9"/>
    <x v="21"/>
    <x v="21"/>
    <x v="6"/>
    <n v="83"/>
    <n v="46"/>
    <n v="80"/>
    <n v="3"/>
    <n v="27"/>
    <n v="2"/>
    <n v="46"/>
    <x v="1"/>
    <n v="129"/>
    <n v="46"/>
    <n v="46"/>
    <n v="0"/>
    <n v="0.02325581395348837"/>
    <n v="0.6201550387596899"/>
    <x v="1"/>
    <x v="0"/>
  </r>
  <r>
    <x v="472"/>
    <x v="9"/>
    <x v="9"/>
    <x v="22"/>
    <x v="22"/>
    <x v="7"/>
    <n v="96"/>
    <n v="46"/>
    <n v="93"/>
    <n v="2"/>
    <n v="36"/>
    <n v="2"/>
    <n v="47"/>
    <x v="1"/>
    <n v="142"/>
    <n v="47"/>
    <n v="47"/>
    <n v="0"/>
    <n v="0.01408450704225352"/>
    <n v="0.6549295774647887"/>
    <x v="1"/>
    <x v="0"/>
  </r>
  <r>
    <x v="473"/>
    <x v="9"/>
    <x v="9"/>
    <x v="23"/>
    <x v="23"/>
    <x v="8"/>
    <n v="57"/>
    <n v="90"/>
    <n v="52"/>
    <n v="1"/>
    <n v="24"/>
    <n v="1"/>
    <n v="94"/>
    <x v="1"/>
    <n v="147"/>
    <n v="94"/>
    <n v="94"/>
    <n v="0"/>
    <n v="0.006802721088435374"/>
    <n v="0.3537414965986395"/>
    <x v="1"/>
    <x v="0"/>
  </r>
  <r>
    <x v="474"/>
    <x v="9"/>
    <x v="9"/>
    <x v="24"/>
    <x v="24"/>
    <x v="9"/>
    <n v="62"/>
    <n v="86"/>
    <n v="60"/>
    <n v="2"/>
    <n v="27"/>
    <n v="1"/>
    <n v="86"/>
    <x v="1"/>
    <n v="148"/>
    <n v="86"/>
    <n v="86"/>
    <n v="0"/>
    <n v="0.01351351351351351"/>
    <n v="0.4054054054054054"/>
    <x v="1"/>
    <x v="0"/>
  </r>
  <r>
    <x v="475"/>
    <x v="9"/>
    <x v="9"/>
    <x v="25"/>
    <x v="25"/>
    <x v="10"/>
    <n v="70"/>
    <n v="70"/>
    <n v="113"/>
    <n v="1"/>
    <n v="16"/>
    <n v="2"/>
    <n v="26"/>
    <x v="1"/>
    <n v="140"/>
    <n v="26"/>
    <n v="26"/>
    <n v="0"/>
    <n v="0.007142857142857143"/>
    <n v="0.8071428571428572"/>
    <x v="1"/>
    <x v="0"/>
  </r>
  <r>
    <x v="476"/>
    <x v="9"/>
    <x v="9"/>
    <x v="26"/>
    <x v="26"/>
    <x v="11"/>
    <n v="49"/>
    <n v="33"/>
    <n v="140"/>
    <n v="2"/>
    <n v="22"/>
    <n v="3"/>
    <n v="0"/>
    <x v="0"/>
    <n v="82"/>
    <n v="-60"/>
    <n v="0"/>
    <n v="60"/>
    <n v="0.02439024390243903"/>
    <n v="1.707317073170732"/>
    <x v="0"/>
    <x v="0"/>
  </r>
  <r>
    <x v="477"/>
    <x v="9"/>
    <x v="9"/>
    <x v="27"/>
    <x v="27"/>
    <x v="12"/>
    <n v="126"/>
    <n v="67"/>
    <n v="100"/>
    <n v="2"/>
    <n v="38"/>
    <n v="4"/>
    <n v="91"/>
    <x v="1"/>
    <n v="193"/>
    <n v="91"/>
    <n v="91"/>
    <n v="0"/>
    <n v="0.01036269430051814"/>
    <n v="0.5181347150259067"/>
    <x v="1"/>
    <x v="0"/>
  </r>
  <r>
    <x v="478"/>
    <x v="9"/>
    <x v="9"/>
    <x v="28"/>
    <x v="28"/>
    <x v="13"/>
    <n v="146"/>
    <n v="80"/>
    <n v="73"/>
    <n v="2"/>
    <n v="28"/>
    <n v="2"/>
    <n v="151"/>
    <x v="1"/>
    <n v="226"/>
    <n v="151"/>
    <n v="151"/>
    <n v="0"/>
    <n v="0.008849557522123894"/>
    <n v="0.3230088495575221"/>
    <x v="1"/>
    <x v="0"/>
  </r>
  <r>
    <x v="479"/>
    <x v="9"/>
    <x v="9"/>
    <x v="29"/>
    <x v="29"/>
    <x v="14"/>
    <n v="107"/>
    <n v="97"/>
    <n v="84"/>
    <n v="6"/>
    <n v="29"/>
    <n v="5"/>
    <n v="114"/>
    <x v="1"/>
    <n v="204"/>
    <n v="114"/>
    <n v="114"/>
    <n v="0"/>
    <n v="0.02941176470588235"/>
    <n v="0.4117647058823529"/>
    <x v="1"/>
    <x v="0"/>
  </r>
  <r>
    <x v="480"/>
    <x v="9"/>
    <x v="9"/>
    <x v="30"/>
    <x v="30"/>
    <x v="0"/>
    <n v="134"/>
    <n v="32"/>
    <n v="38"/>
    <n v="7"/>
    <n v="22"/>
    <n v="5"/>
    <n v="121"/>
    <x v="1"/>
    <n v="166"/>
    <n v="121"/>
    <n v="121"/>
    <n v="0"/>
    <n v="0.04216867469879518"/>
    <n v="0.2289156626506024"/>
    <x v="1"/>
    <x v="0"/>
  </r>
  <r>
    <x v="481"/>
    <x v="9"/>
    <x v="9"/>
    <x v="31"/>
    <x v="31"/>
    <x v="1"/>
    <n v="139"/>
    <n v="47"/>
    <n v="66"/>
    <n v="2"/>
    <n v="37"/>
    <n v="2"/>
    <n v="118"/>
    <x v="1"/>
    <n v="186"/>
    <n v="118"/>
    <n v="118"/>
    <n v="0"/>
    <n v="0.01075268817204301"/>
    <n v="0.3548387096774194"/>
    <x v="1"/>
    <x v="0"/>
  </r>
  <r>
    <x v="482"/>
    <x v="9"/>
    <x v="9"/>
    <x v="32"/>
    <x v="32"/>
    <x v="2"/>
    <n v="136"/>
    <n v="34"/>
    <n v="111"/>
    <n v="3"/>
    <n v="22"/>
    <n v="4"/>
    <n v="56"/>
    <x v="1"/>
    <n v="170"/>
    <n v="56"/>
    <n v="56"/>
    <n v="0"/>
    <n v="0.01764705882352941"/>
    <n v="0.6529411764705882"/>
    <x v="1"/>
    <x v="0"/>
  </r>
  <r>
    <x v="483"/>
    <x v="9"/>
    <x v="9"/>
    <x v="33"/>
    <x v="33"/>
    <x v="3"/>
    <n v="118"/>
    <n v="55"/>
    <n v="111"/>
    <n v="3"/>
    <n v="34"/>
    <n v="1"/>
    <n v="59"/>
    <x v="1"/>
    <n v="173"/>
    <n v="59"/>
    <n v="59"/>
    <n v="0"/>
    <n v="0.01734104046242774"/>
    <n v="0.6416184971098265"/>
    <x v="1"/>
    <x v="0"/>
  </r>
  <r>
    <x v="484"/>
    <x v="9"/>
    <x v="9"/>
    <x v="34"/>
    <x v="34"/>
    <x v="4"/>
    <n v="118"/>
    <n v="92"/>
    <n v="81"/>
    <n v="6"/>
    <n v="31"/>
    <n v="3"/>
    <n v="123"/>
    <x v="1"/>
    <n v="210"/>
    <n v="123"/>
    <n v="123"/>
    <n v="0"/>
    <n v="0.02857142857142857"/>
    <n v="0.3857142857142857"/>
    <x v="1"/>
    <x v="0"/>
  </r>
  <r>
    <x v="485"/>
    <x v="9"/>
    <x v="9"/>
    <x v="35"/>
    <x v="35"/>
    <x v="5"/>
    <n v="60"/>
    <n v="25"/>
    <n v="119"/>
    <n v="5"/>
    <n v="21"/>
    <n v="1"/>
    <n v="0"/>
    <x v="0"/>
    <n v="85"/>
    <n v="-39"/>
    <n v="0"/>
    <n v="39"/>
    <n v="0.05882352941176471"/>
    <n v="1.4"/>
    <x v="0"/>
    <x v="0"/>
  </r>
  <r>
    <x v="486"/>
    <x v="9"/>
    <x v="9"/>
    <x v="36"/>
    <x v="36"/>
    <x v="6"/>
    <n v="118"/>
    <n v="70"/>
    <n v="130"/>
    <n v="6"/>
    <n v="31"/>
    <n v="3"/>
    <n v="52"/>
    <x v="1"/>
    <n v="188"/>
    <n v="52"/>
    <n v="52"/>
    <n v="0"/>
    <n v="0.03191489361702127"/>
    <n v="0.6914893617021277"/>
    <x v="1"/>
    <x v="0"/>
  </r>
  <r>
    <x v="487"/>
    <x v="9"/>
    <x v="9"/>
    <x v="37"/>
    <x v="37"/>
    <x v="7"/>
    <n v="53"/>
    <n v="55"/>
    <n v="37"/>
    <n v="5"/>
    <n v="39"/>
    <n v="2"/>
    <n v="66"/>
    <x v="1"/>
    <n v="108"/>
    <n v="66"/>
    <n v="66"/>
    <n v="0"/>
    <n v="0.04629629629629629"/>
    <n v="0.3425925925925926"/>
    <x v="1"/>
    <x v="0"/>
  </r>
  <r>
    <x v="488"/>
    <x v="9"/>
    <x v="9"/>
    <x v="38"/>
    <x v="38"/>
    <x v="8"/>
    <n v="88"/>
    <n v="98"/>
    <n v="67"/>
    <n v="6"/>
    <n v="31"/>
    <n v="1"/>
    <n v="113"/>
    <x v="1"/>
    <n v="186"/>
    <n v="113"/>
    <n v="113"/>
    <n v="0"/>
    <n v="0.03225806451612903"/>
    <n v="0.3602150537634409"/>
    <x v="1"/>
    <x v="0"/>
  </r>
  <r>
    <x v="489"/>
    <x v="9"/>
    <x v="9"/>
    <x v="39"/>
    <x v="39"/>
    <x v="9"/>
    <n v="49"/>
    <n v="53"/>
    <n v="91"/>
    <n v="3"/>
    <n v="33"/>
    <n v="1"/>
    <n v="8"/>
    <x v="0"/>
    <n v="102"/>
    <n v="8"/>
    <n v="8"/>
    <n v="0"/>
    <n v="0.02941176470588235"/>
    <n v="0.8921568627450981"/>
    <x v="0"/>
    <x v="0"/>
  </r>
  <r>
    <x v="490"/>
    <x v="9"/>
    <x v="9"/>
    <x v="40"/>
    <x v="40"/>
    <x v="10"/>
    <n v="60"/>
    <n v="91"/>
    <n v="70"/>
    <n v="1"/>
    <n v="19"/>
    <n v="3"/>
    <n v="80"/>
    <x v="1"/>
    <n v="151"/>
    <n v="80"/>
    <n v="80"/>
    <n v="0"/>
    <n v="0.006622516556291391"/>
    <n v="0.4635761589403973"/>
    <x v="1"/>
    <x v="0"/>
  </r>
  <r>
    <x v="491"/>
    <x v="9"/>
    <x v="9"/>
    <x v="41"/>
    <x v="41"/>
    <x v="11"/>
    <n v="125"/>
    <n v="85"/>
    <n v="57"/>
    <n v="3"/>
    <n v="22"/>
    <n v="1"/>
    <n v="150"/>
    <x v="1"/>
    <n v="210"/>
    <n v="150"/>
    <n v="150"/>
    <n v="0"/>
    <n v="0.01428571428571429"/>
    <n v="0.2714285714285714"/>
    <x v="1"/>
    <x v="0"/>
  </r>
  <r>
    <x v="492"/>
    <x v="9"/>
    <x v="9"/>
    <x v="42"/>
    <x v="42"/>
    <x v="12"/>
    <n v="79"/>
    <n v="62"/>
    <n v="113"/>
    <n v="2"/>
    <n v="27"/>
    <n v="1"/>
    <n v="26"/>
    <x v="0"/>
    <n v="141"/>
    <n v="26"/>
    <n v="26"/>
    <n v="0"/>
    <n v="0.01418439716312057"/>
    <n v="0.8014184397163121"/>
    <x v="0"/>
    <x v="0"/>
  </r>
  <r>
    <x v="493"/>
    <x v="9"/>
    <x v="9"/>
    <x v="43"/>
    <x v="43"/>
    <x v="13"/>
    <n v="124"/>
    <n v="35"/>
    <n v="124"/>
    <n v="3"/>
    <n v="21"/>
    <n v="3"/>
    <n v="32"/>
    <x v="1"/>
    <n v="159"/>
    <n v="32"/>
    <n v="32"/>
    <n v="0"/>
    <n v="0.01886792452830189"/>
    <n v="0.779874213836478"/>
    <x v="1"/>
    <x v="0"/>
  </r>
  <r>
    <x v="494"/>
    <x v="9"/>
    <x v="9"/>
    <x v="44"/>
    <x v="44"/>
    <x v="14"/>
    <n v="105"/>
    <n v="78"/>
    <n v="44"/>
    <n v="2"/>
    <n v="28"/>
    <n v="4"/>
    <n v="137"/>
    <x v="1"/>
    <n v="183"/>
    <n v="137"/>
    <n v="137"/>
    <n v="0"/>
    <n v="0.01092896174863388"/>
    <n v="0.2404371584699453"/>
    <x v="1"/>
    <x v="0"/>
  </r>
  <r>
    <x v="495"/>
    <x v="9"/>
    <x v="9"/>
    <x v="45"/>
    <x v="45"/>
    <x v="0"/>
    <n v="138"/>
    <n v="85"/>
    <n v="60"/>
    <n v="3"/>
    <n v="22"/>
    <n v="2"/>
    <n v="160"/>
    <x v="1"/>
    <n v="223"/>
    <n v="160"/>
    <n v="160"/>
    <n v="0"/>
    <n v="0.01345291479820628"/>
    <n v="0.2690582959641256"/>
    <x v="1"/>
    <x v="0"/>
  </r>
  <r>
    <x v="496"/>
    <x v="9"/>
    <x v="9"/>
    <x v="46"/>
    <x v="46"/>
    <x v="1"/>
    <n v="87"/>
    <n v="37"/>
    <n v="72"/>
    <n v="1"/>
    <n v="22"/>
    <n v="4"/>
    <n v="51"/>
    <x v="1"/>
    <n v="124"/>
    <n v="51"/>
    <n v="51"/>
    <n v="0"/>
    <n v="0.008064516129032258"/>
    <n v="0.5806451612903226"/>
    <x v="1"/>
    <x v="0"/>
  </r>
  <r>
    <x v="497"/>
    <x v="9"/>
    <x v="9"/>
    <x v="47"/>
    <x v="47"/>
    <x v="2"/>
    <n v="69"/>
    <n v="26"/>
    <n v="64"/>
    <n v="0"/>
    <n v="31"/>
    <n v="3"/>
    <n v="31"/>
    <x v="0"/>
    <n v="95"/>
    <n v="31"/>
    <n v="31"/>
    <n v="0"/>
    <n v="0"/>
    <n v="0.6736842105263158"/>
    <x v="0"/>
    <x v="0"/>
  </r>
  <r>
    <x v="498"/>
    <x v="9"/>
    <x v="9"/>
    <x v="48"/>
    <x v="48"/>
    <x v="3"/>
    <n v="66"/>
    <n v="58"/>
    <n v="101"/>
    <n v="0"/>
    <n v="33"/>
    <n v="3"/>
    <n v="23"/>
    <x v="0"/>
    <n v="124"/>
    <n v="23"/>
    <n v="23"/>
    <n v="0"/>
    <n v="0"/>
    <n v="0.8145161290322581"/>
    <x v="0"/>
    <x v="0"/>
  </r>
  <r>
    <x v="499"/>
    <x v="9"/>
    <x v="9"/>
    <x v="49"/>
    <x v="49"/>
    <x v="4"/>
    <n v="118"/>
    <n v="38"/>
    <n v="94"/>
    <n v="1"/>
    <n v="34"/>
    <n v="2"/>
    <n v="61"/>
    <x v="1"/>
    <n v="156"/>
    <n v="61"/>
    <n v="61"/>
    <n v="0"/>
    <n v="0.00641025641025641"/>
    <n v="0.6025641025641025"/>
    <x v="1"/>
    <x v="0"/>
  </r>
</pivotCacheRecords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4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5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6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7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8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9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pivotTable1.xml><?xml version="1.0" encoding="utf-8"?>
<pivotTableDefinition xmlns="http://schemas.openxmlformats.org/spreadsheetml/2006/main" name="PT_Units_by_Outle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14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1">
        <item t="data" sd="1" x="0"/>
        <item t="data" sd="1" x="3"/>
        <item t="data" sd="1" x="4"/>
        <item t="data" sd="1" x="2"/>
        <item t="data" sd="1" x="9"/>
        <item t="data" sd="1" x="8"/>
        <item t="data" sd="1" x="5"/>
        <item t="data" sd="1" x="1"/>
        <item t="data" sd="1" x="7"/>
        <item t="data" sd="1" x="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Items count="1">
    <i t="data" r="0" i="0"/>
  </colItems>
  <dataFields count="1">
    <dataField name="Sum of Units_Sold" fld="8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T_Units_by_Produc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69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51">
        <item t="data" sd="1" x="15"/>
        <item t="data" sd="1" x="25"/>
        <item t="data" sd="1" x="19"/>
        <item t="data" sd="1" x="8"/>
        <item t="data" sd="1" x="36"/>
        <item t="data" sd="1" x="46"/>
        <item t="data" sd="1" x="0"/>
        <item t="data" sd="1" x="26"/>
        <item t="data" sd="1" x="41"/>
        <item t="data" sd="1" x="10"/>
        <item t="data" sd="1" x="48"/>
        <item t="data" sd="1" x="43"/>
        <item t="data" sd="1" x="42"/>
        <item t="data" sd="1" x="2"/>
        <item t="data" sd="1" x="6"/>
        <item t="data" sd="1" x="31"/>
        <item t="data" sd="1" x="24"/>
        <item t="data" sd="1" x="33"/>
        <item t="data" sd="1" x="7"/>
        <item t="data" sd="1" x="4"/>
        <item t="data" sd="1" x="3"/>
        <item t="data" sd="1" x="12"/>
        <item t="data" sd="1" x="18"/>
        <item t="data" sd="1" x="1"/>
        <item t="data" sd="1" x="37"/>
        <item t="data" sd="1" x="49"/>
        <item t="data" sd="1" x="39"/>
        <item t="data" sd="1" x="13"/>
        <item t="data" sd="1" x="30"/>
        <item t="data" sd="1" x="29"/>
        <item t="data" sd="1" x="20"/>
        <item t="data" sd="1" x="40"/>
        <item t="data" sd="1" x="45"/>
        <item t="data" sd="1" x="22"/>
        <item t="data" sd="1" x="23"/>
        <item t="data" sd="1" x="35"/>
        <item t="data" sd="1" x="5"/>
        <item t="data" sd="1" x="17"/>
        <item t="data" sd="1" x="21"/>
        <item t="data" sd="1" x="27"/>
        <item t="data" sd="1" x="9"/>
        <item t="data" sd="1" x="32"/>
        <item t="data" sd="1" x="38"/>
        <item t="data" sd="1" x="34"/>
        <item t="data" sd="1" x="16"/>
        <item t="data" sd="1" x="28"/>
        <item t="data" sd="1" x="11"/>
        <item t="data" sd="1" x="14"/>
        <item t="data" sd="1" x="47"/>
        <item t="data" sd="1" x="44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16">
        <item t="data" sd="1" x="0"/>
        <item t="data" sd="1" x="3"/>
        <item t="data" sd="1" x="4"/>
        <item t="data" sd="1" x="1"/>
        <item t="data" sd="1" x="2"/>
        <item t="data" sd="1" x="10"/>
        <item t="data" sd="1" x="6"/>
        <item t="data" sd="1" x="11"/>
        <item t="data" sd="1" x="8"/>
        <item t="data" sd="1" x="12"/>
        <item t="data" sd="1" x="13"/>
        <item t="data" sd="1" x="7"/>
        <item t="data" sd="1" x="9"/>
        <item t="data" sd="1" x="5"/>
        <item t="data" sd="1" x="14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5"/>
    <field x="4"/>
  </rowFields>
  <rowItems count="66">
    <i t="data" r="0" i="0">
      <x v="0"/>
    </i>
    <i t="data" r="1" i="0">
      <x v="0"/>
    </i>
    <i t="data" r="1" i="0">
      <x v="6"/>
    </i>
    <i t="data" r="1" i="0">
      <x v="28"/>
    </i>
    <i t="data" r="1" i="0">
      <x v="32"/>
    </i>
    <i t="data" r="0" i="0">
      <x v="1"/>
    </i>
    <i t="data" r="1" i="0">
      <x v="10"/>
    </i>
    <i t="data" r="1" i="0">
      <x v="17"/>
    </i>
    <i t="data" r="1" i="0">
      <x v="20"/>
    </i>
    <i t="data" r="1" i="0">
      <x v="22"/>
    </i>
    <i t="data" r="0" i="0">
      <x v="2"/>
    </i>
    <i t="data" r="1" i="0">
      <x v="2"/>
    </i>
    <i t="data" r="1" i="0">
      <x v="19"/>
    </i>
    <i t="data" r="1" i="0">
      <x v="25"/>
    </i>
    <i t="data" r="1" i="0">
      <x v="43"/>
    </i>
    <i t="data" r="0" i="0">
      <x v="3"/>
    </i>
    <i t="data" r="1" i="0">
      <x v="5"/>
    </i>
    <i t="data" r="1" i="0">
      <x v="15"/>
    </i>
    <i t="data" r="1" i="0">
      <x v="23"/>
    </i>
    <i t="data" r="1" i="0">
      <x v="44"/>
    </i>
    <i t="data" r="0" i="0">
      <x v="4"/>
    </i>
    <i t="data" r="1" i="0">
      <x v="13"/>
    </i>
    <i t="data" r="1" i="0">
      <x v="37"/>
    </i>
    <i t="data" r="1" i="0">
      <x v="41"/>
    </i>
    <i t="data" r="1" i="0">
      <x v="48"/>
    </i>
    <i t="data" r="0" i="0">
      <x v="5"/>
    </i>
    <i t="data" r="1" i="0">
      <x v="1"/>
    </i>
    <i t="data" r="1" i="0">
      <x v="9"/>
    </i>
    <i t="data" r="1" i="0">
      <x v="31"/>
    </i>
    <i t="data" r="0" i="0">
      <x v="6"/>
    </i>
    <i t="data" r="1" i="0">
      <x v="4"/>
    </i>
    <i t="data" r="1" i="0">
      <x v="14"/>
    </i>
    <i t="data" r="1" i="0">
      <x v="38"/>
    </i>
    <i t="data" r="0" i="0">
      <x v="7"/>
    </i>
    <i t="data" r="1" i="0">
      <x v="7"/>
    </i>
    <i t="data" r="1" i="0">
      <x v="8"/>
    </i>
    <i t="data" r="1" i="0">
      <x v="46"/>
    </i>
    <i t="data" r="0" i="0">
      <x v="8"/>
    </i>
    <i t="data" r="1" i="0">
      <x v="3"/>
    </i>
    <i t="data" r="1" i="0">
      <x v="34"/>
    </i>
    <i t="data" r="1" i="0">
      <x v="42"/>
    </i>
    <i t="data" r="0" i="0">
      <x v="9"/>
    </i>
    <i t="data" r="1" i="0">
      <x v="12"/>
    </i>
    <i t="data" r="1" i="0">
      <x v="21"/>
    </i>
    <i t="data" r="1" i="0">
      <x v="39"/>
    </i>
    <i t="data" r="0" i="0">
      <x v="10"/>
    </i>
    <i t="data" r="1" i="0">
      <x v="11"/>
    </i>
    <i t="data" r="1" i="0">
      <x v="27"/>
    </i>
    <i t="data" r="1" i="0">
      <x v="45"/>
    </i>
    <i t="data" r="0" i="0">
      <x v="11"/>
    </i>
    <i t="data" r="1" i="0">
      <x v="18"/>
    </i>
    <i t="data" r="1" i="0">
      <x v="24"/>
    </i>
    <i t="data" r="1" i="0">
      <x v="33"/>
    </i>
    <i t="data" r="0" i="0">
      <x v="12"/>
    </i>
    <i t="data" r="1" i="0">
      <x v="16"/>
    </i>
    <i t="data" r="1" i="0">
      <x v="26"/>
    </i>
    <i t="data" r="1" i="0">
      <x v="40"/>
    </i>
    <i t="data" r="0" i="0">
      <x v="13"/>
    </i>
    <i t="data" r="1" i="0">
      <x v="30"/>
    </i>
    <i t="data" r="1" i="0">
      <x v="35"/>
    </i>
    <i t="data" r="1" i="0">
      <x v="36"/>
    </i>
    <i t="data" r="0" i="0">
      <x v="14"/>
    </i>
    <i t="data" r="1" i="0">
      <x v="29"/>
    </i>
    <i t="data" r="1" i="0">
      <x v="47"/>
    </i>
    <i t="data" r="1" i="0">
      <x v="49"/>
    </i>
    <i t="grand" r="0" i="0">
      <x v="0"/>
    </i>
  </rowItems>
  <colItems count="1">
    <i t="data" r="0" i="0"/>
  </colItems>
  <dataFields count="1">
    <dataField name="Sum of Units_Sold" fld="8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3.xml><?xml version="1.0" encoding="utf-8"?>
<pivotTableDefinition xmlns="http://schemas.openxmlformats.org/spreadsheetml/2006/main" name="PT_Wastage_by_Outle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14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1">
        <item t="data" sd="1" x="9"/>
        <item t="data" sd="1" x="1"/>
        <item t="data" sd="1" x="7"/>
        <item t="data" sd="1" x="8"/>
        <item t="data" sd="1" x="2"/>
        <item t="data" sd="1" x="5"/>
        <item t="data" sd="1" x="0"/>
        <item t="data" sd="1" x="4"/>
        <item t="data" sd="1" x="3"/>
        <item t="data" sd="1" x="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Items count="1">
    <i t="data" r="0" i="0"/>
  </colItems>
  <dataFields count="1">
    <dataField name="Sum of Wastage" fld="9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4.xml><?xml version="1.0" encoding="utf-8"?>
<pivotTableDefinition xmlns="http://schemas.openxmlformats.org/spreadsheetml/2006/main" name="PT_Wastage_by_Produc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69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51">
        <item t="data" sd="1" x="29"/>
        <item t="data" sd="1" x="30"/>
        <item t="data" sd="1" x="32"/>
        <item t="data" sd="1" x="38"/>
        <item t="data" sd="1" x="33"/>
        <item t="data" sd="1" x="31"/>
        <item t="data" sd="1" x="35"/>
        <item t="data" sd="1" x="39"/>
        <item t="data" sd="1" x="34"/>
        <item t="data" sd="1" x="36"/>
        <item t="data" sd="1" x="37"/>
        <item t="data" sd="1" x="11"/>
        <item t="data" sd="1" x="24"/>
        <item t="data" sd="1" x="43"/>
        <item t="data" sd="1" x="28"/>
        <item t="data" sd="1" x="42"/>
        <item t="data" sd="1" x="9"/>
        <item t="data" sd="1" x="12"/>
        <item t="data" sd="1" x="21"/>
        <item t="data" sd="1" x="22"/>
        <item t="data" sd="1" x="26"/>
        <item t="data" sd="1" x="2"/>
        <item t="data" sd="1" x="3"/>
        <item t="data" sd="1" x="45"/>
        <item t="data" sd="1" x="17"/>
        <item t="data" sd="1" x="18"/>
        <item t="data" sd="1" x="1"/>
        <item t="data" sd="1" x="20"/>
        <item t="data" sd="1" x="25"/>
        <item t="data" sd="1" x="40"/>
        <item t="data" sd="1" x="0"/>
        <item t="data" sd="1" x="13"/>
        <item t="data" sd="1" x="15"/>
        <item t="data" sd="1" x="4"/>
        <item t="data" sd="1" x="49"/>
        <item t="data" sd="1" x="23"/>
        <item t="data" sd="1" x="8"/>
        <item t="data" sd="1" x="14"/>
        <item t="data" sd="1" x="16"/>
        <item t="data" sd="1" x="41"/>
        <item t="data" sd="1" x="47"/>
        <item t="data" sd="1" x="6"/>
        <item t="data" sd="1" x="46"/>
        <item t="data" sd="1" x="10"/>
        <item t="data" sd="1" x="48"/>
        <item t="data" sd="1" x="7"/>
        <item t="data" sd="1" x="19"/>
        <item t="data" sd="1" x="27"/>
        <item t="data" sd="1" x="44"/>
        <item t="data" sd="1" x="5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axis="axisRow" showDropDowns="1" compact="1" outline="1" subtotalTop="1" dragToRow="1" dragToCol="1" dragToPage="1" dragToData="1" dragOff="1" showAll="0" topAutoShow="1" itemPageCount="10" sortType="descending" defaultSubtotal="1">
      <items count="16">
        <item t="data" sd="1" x="0"/>
        <item t="data" sd="1" x="2"/>
        <item t="data" sd="1" x="3"/>
        <item t="data" sd="1" x="1"/>
        <item t="data" sd="1" x="9"/>
        <item t="data" sd="1" x="4"/>
        <item t="data" sd="1" x="8"/>
        <item t="data" sd="1" x="14"/>
        <item t="data" sd="1" x="6"/>
        <item t="data" sd="1" x="5"/>
        <item t="data" sd="1" x="7"/>
        <item t="data" sd="1" x="13"/>
        <item t="data" sd="1" x="11"/>
        <item t="data" sd="1" x="12"/>
        <item t="data" sd="1" x="1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2">
    <field x="5"/>
    <field x="4"/>
  </rowFields>
  <rowItems count="66">
    <i t="data" r="0" i="0">
      <x v="0"/>
    </i>
    <i t="data" r="1" i="0">
      <x v="1"/>
    </i>
    <i t="data" r="1" i="0">
      <x v="23"/>
    </i>
    <i t="data" r="1" i="0">
      <x v="30"/>
    </i>
    <i t="data" r="1" i="0">
      <x v="32"/>
    </i>
    <i t="data" r="0" i="0">
      <x v="1"/>
    </i>
    <i t="data" r="1" i="0">
      <x v="2"/>
    </i>
    <i t="data" r="1" i="0">
      <x v="21"/>
    </i>
    <i t="data" r="1" i="0">
      <x v="24"/>
    </i>
    <i t="data" r="1" i="0">
      <x v="40"/>
    </i>
    <i t="data" r="0" i="0">
      <x v="2"/>
    </i>
    <i t="data" r="1" i="0">
      <x v="4"/>
    </i>
    <i t="data" r="1" i="0">
      <x v="22"/>
    </i>
    <i t="data" r="1" i="0">
      <x v="25"/>
    </i>
    <i t="data" r="1" i="0">
      <x v="44"/>
    </i>
    <i t="data" r="0" i="0">
      <x v="3"/>
    </i>
    <i t="data" r="1" i="0">
      <x v="5"/>
    </i>
    <i t="data" r="1" i="0">
      <x v="26"/>
    </i>
    <i t="data" r="1" i="0">
      <x v="38"/>
    </i>
    <i t="data" r="1" i="0">
      <x v="42"/>
    </i>
    <i t="data" r="0" i="0">
      <x v="4"/>
    </i>
    <i t="data" r="1" i="0">
      <x v="7"/>
    </i>
    <i t="data" r="1" i="0">
      <x v="12"/>
    </i>
    <i t="data" r="1" i="0">
      <x v="16"/>
    </i>
    <i t="data" r="0" i="0">
      <x v="5"/>
    </i>
    <i t="data" r="1" i="0">
      <x v="8"/>
    </i>
    <i t="data" r="1" i="0">
      <x v="33"/>
    </i>
    <i t="data" r="1" i="0">
      <x v="34"/>
    </i>
    <i t="data" r="1" i="0">
      <x v="46"/>
    </i>
    <i t="data" r="0" i="0">
      <x v="6"/>
    </i>
    <i t="data" r="1" i="0">
      <x v="3"/>
    </i>
    <i t="data" r="1" i="0">
      <x v="35"/>
    </i>
    <i t="data" r="1" i="0">
      <x v="36"/>
    </i>
    <i t="data" r="0" i="0">
      <x v="7"/>
    </i>
    <i t="data" r="1" i="0">
      <x v="0"/>
    </i>
    <i t="data" r="1" i="0">
      <x v="37"/>
    </i>
    <i t="data" r="1" i="0">
      <x v="48"/>
    </i>
    <i t="data" r="0" i="0">
      <x v="8"/>
    </i>
    <i t="data" r="1" i="0">
      <x v="9"/>
    </i>
    <i t="data" r="1" i="0">
      <x v="18"/>
    </i>
    <i t="data" r="1" i="0">
      <x v="41"/>
    </i>
    <i t="data" r="0" i="0">
      <x v="9"/>
    </i>
    <i t="data" r="1" i="0">
      <x v="6"/>
    </i>
    <i t="data" r="1" i="0">
      <x v="27"/>
    </i>
    <i t="data" r="1" i="0">
      <x v="49"/>
    </i>
    <i t="data" r="0" i="0">
      <x v="10"/>
    </i>
    <i t="data" r="1" i="0">
      <x v="10"/>
    </i>
    <i t="data" r="1" i="0">
      <x v="19"/>
    </i>
    <i t="data" r="1" i="0">
      <x v="45"/>
    </i>
    <i t="data" r="0" i="0">
      <x v="11"/>
    </i>
    <i t="data" r="1" i="0">
      <x v="13"/>
    </i>
    <i t="data" r="1" i="0">
      <x v="14"/>
    </i>
    <i t="data" r="1" i="0">
      <x v="31"/>
    </i>
    <i t="data" r="0" i="0">
      <x v="12"/>
    </i>
    <i t="data" r="1" i="0">
      <x v="11"/>
    </i>
    <i t="data" r="1" i="0">
      <x v="20"/>
    </i>
    <i t="data" r="1" i="0">
      <x v="39"/>
    </i>
    <i t="data" r="0" i="0">
      <x v="13"/>
    </i>
    <i t="data" r="1" i="0">
      <x v="15"/>
    </i>
    <i t="data" r="1" i="0">
      <x v="17"/>
    </i>
    <i t="data" r="1" i="0">
      <x v="47"/>
    </i>
    <i t="data" r="0" i="0">
      <x v="14"/>
    </i>
    <i t="data" r="1" i="0">
      <x v="28"/>
    </i>
    <i t="data" r="1" i="0">
      <x v="29"/>
    </i>
    <i t="data" r="1" i="0">
      <x v="43"/>
    </i>
    <i t="grand" r="0" i="0">
      <x v="0"/>
    </i>
  </rowItems>
  <colItems count="1">
    <i t="data" r="0" i="0"/>
  </colItems>
  <dataFields count="1">
    <dataField name="Sum of Wastage" fld="9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5.xml><?xml version="1.0" encoding="utf-8"?>
<pivotTableDefinition xmlns="http://schemas.openxmlformats.org/spreadsheetml/2006/main" name="PT_Closing_by_Outle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14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1">
        <item t="data" sd="1" x="6"/>
        <item t="data" sd="1" x="5"/>
        <item t="data" sd="1" x="1"/>
        <item t="data" sd="1" x="7"/>
        <item t="data" sd="1" x="2"/>
        <item t="data" sd="1" x="9"/>
        <item t="data" sd="1" x="4"/>
        <item t="data" sd="1" x="8"/>
        <item t="data" sd="1" x="3"/>
        <item t="data" sd="1" x="0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Items count="1">
    <i t="data" r="0" i="0"/>
  </colItems>
  <dataFields count="1">
    <dataField name="Sum of Closing_Stock_Adj" fld="16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6.xml><?xml version="1.0" encoding="utf-8"?>
<pivotTableDefinition xmlns="http://schemas.openxmlformats.org/spreadsheetml/2006/main" name="PT_Reorder_by_Produc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D55" firstHeaderRow="1" firstDataRow="2" firstDataCol="1"/>
  <pivotFields count="22"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51">
        <item t="data" sd="1" x="41"/>
        <item t="data" sd="1" x="43"/>
        <item t="data" sd="1" x="0"/>
        <item t="data" sd="1" x="19"/>
        <item t="data" sd="1" x="15"/>
        <item t="data" sd="1" x="22"/>
        <item t="data" sd="1" x="25"/>
        <item t="data" sd="1" x="39"/>
        <item t="data" sd="1" x="42"/>
        <item t="data" sd="1" x="48"/>
        <item t="data" sd="1" x="8"/>
        <item t="data" sd="1" x="9"/>
        <item t="data" sd="1" x="10"/>
        <item t="data" sd="1" x="13"/>
        <item t="data" sd="1" x="16"/>
        <item t="data" sd="1" x="18"/>
        <item t="data" sd="1" x="1"/>
        <item t="data" sd="1" x="24"/>
        <item t="data" sd="1" x="26"/>
        <item t="data" sd="1" x="28"/>
        <item t="data" sd="1" x="2"/>
        <item t="data" sd="1" x="31"/>
        <item t="data" sd="1" x="33"/>
        <item t="data" sd="1" x="36"/>
        <item t="data" sd="1" x="37"/>
        <item t="data" sd="1" x="40"/>
        <item t="data" sd="1" x="45"/>
        <item t="data" sd="1" x="7"/>
        <item t="data" sd="1" x="14"/>
        <item t="data" sd="1" x="17"/>
        <item t="data" sd="1" x="20"/>
        <item t="data" sd="1" x="32"/>
        <item t="data" sd="1" x="35"/>
        <item t="data" sd="1" x="3"/>
        <item t="data" sd="1" x="44"/>
        <item t="data" sd="1" x="47"/>
        <item t="data" sd="1" x="4"/>
        <item t="data" sd="1" x="49"/>
        <item t="data" sd="1" x="11"/>
        <item t="data" sd="1" x="12"/>
        <item t="data" sd="1" x="21"/>
        <item t="data" sd="1" x="23"/>
        <item t="data" sd="1" x="27"/>
        <item t="data" sd="1" x="29"/>
        <item t="data" sd="1" x="30"/>
        <item t="data" sd="1" x="34"/>
        <item t="data" sd="1" x="38"/>
        <item t="data" sd="1" x="46"/>
        <item t="data" sd="1" x="5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Col" showDropDowns="1" compact="1" outline="1" subtotalTop="1" dragToRow="1" dragToCol="1" dragToPage="1" dragToData="1" dragOff="1" showAll="0" topAutoShow="1" itemPageCount="10" sortType="manual" defaultSubtotal="1">
      <items count="3">
        <item t="data" sd="1" x="0"/>
        <item t="data" sd="1" x="1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4"/>
  </rowFields>
  <rowItems count="5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data" r="0" i="0">
      <x v="10"/>
    </i>
    <i t="data" r="0" i="0">
      <x v="11"/>
    </i>
    <i t="data" r="0" i="0">
      <x v="12"/>
    </i>
    <i t="data" r="0" i="0">
      <x v="13"/>
    </i>
    <i t="data" r="0" i="0">
      <x v="14"/>
    </i>
    <i t="data" r="0" i="0">
      <x v="15"/>
    </i>
    <i t="data" r="0" i="0">
      <x v="16"/>
    </i>
    <i t="data" r="0" i="0">
      <x v="17"/>
    </i>
    <i t="data" r="0" i="0">
      <x v="18"/>
    </i>
    <i t="data" r="0" i="0">
      <x v="19"/>
    </i>
    <i t="data" r="0" i="0">
      <x v="20"/>
    </i>
    <i t="data" r="0" i="0">
      <x v="21"/>
    </i>
    <i t="data" r="0" i="0">
      <x v="22"/>
    </i>
    <i t="data" r="0" i="0">
      <x v="23"/>
    </i>
    <i t="data" r="0" i="0">
      <x v="24"/>
    </i>
    <i t="data" r="0" i="0">
      <x v="25"/>
    </i>
    <i t="data" r="0" i="0">
      <x v="26"/>
    </i>
    <i t="data" r="0" i="0">
      <x v="27"/>
    </i>
    <i t="data" r="0" i="0">
      <x v="28"/>
    </i>
    <i t="data" r="0" i="0">
      <x v="29"/>
    </i>
    <i t="data" r="0" i="0">
      <x v="30"/>
    </i>
    <i t="data" r="0" i="0">
      <x v="31"/>
    </i>
    <i t="data" r="0" i="0">
      <x v="32"/>
    </i>
    <i t="data" r="0" i="0">
      <x v="33"/>
    </i>
    <i t="data" r="0" i="0">
      <x v="34"/>
    </i>
    <i t="data" r="0" i="0">
      <x v="35"/>
    </i>
    <i t="data" r="0" i="0">
      <x v="36"/>
    </i>
    <i t="data" r="0" i="0">
      <x v="37"/>
    </i>
    <i t="data" r="0" i="0">
      <x v="38"/>
    </i>
    <i t="data" r="0" i="0">
      <x v="39"/>
    </i>
    <i t="data" r="0" i="0">
      <x v="40"/>
    </i>
    <i t="data" r="0" i="0">
      <x v="41"/>
    </i>
    <i t="data" r="0" i="0">
      <x v="42"/>
    </i>
    <i t="data" r="0" i="0">
      <x v="43"/>
    </i>
    <i t="data" r="0" i="0">
      <x v="44"/>
    </i>
    <i t="data" r="0" i="0">
      <x v="45"/>
    </i>
    <i t="data" r="0" i="0">
      <x v="46"/>
    </i>
    <i t="data" r="0" i="0">
      <x v="47"/>
    </i>
    <i t="data" r="0" i="0">
      <x v="48"/>
    </i>
    <i t="data" r="0" i="0">
      <x v="49"/>
    </i>
    <i t="grand" r="0" i="0">
      <x v="0"/>
    </i>
  </rowItems>
  <colFields count="1">
    <field x="20"/>
  </colFields>
  <colItems count="3">
    <i t="data" r="0" i="0">
      <x v="0"/>
    </i>
    <i t="data" r="0" i="0">
      <x v="1"/>
    </i>
    <i t="grand" r="0" i="0">
      <x v="0"/>
    </i>
  </colItems>
  <dataFields count="1">
    <dataField name="Count of Inventory_ID" fld="0" subtotal="count" showDataAs="normal" baseField="0" baseItem="0" numFmtId="3"/>
  </dataFields>
  <pivotTableStyleInfo name="PivotStyleLight16" showRowHeaders="1" showColHeaders="1" showRowStripes="0" showColStripes="0" showLastColumn="1"/>
</pivotTableDefinition>
</file>

<file path=xl/pivotTables/pivotTable7.xml><?xml version="1.0" encoding="utf-8"?>
<pivotTableDefinition xmlns="http://schemas.openxmlformats.org/spreadsheetml/2006/main" name="PT_Utilization_by_Outle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14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1">
        <item t="data" sd="1" x="0"/>
        <item t="data" sd="1" x="3"/>
        <item t="data" sd="1" x="4"/>
        <item t="data" sd="1" x="9"/>
        <item t="data" sd="1" x="8"/>
        <item t="data" sd="1" x="2"/>
        <item t="data" sd="1" x="1"/>
        <item t="data" sd="1" x="5"/>
        <item t="data" sd="1" x="7"/>
        <item t="data" sd="1" x="6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Items count="1">
    <i t="data" r="0" i="0"/>
  </colItems>
  <dataFields count="1">
    <dataField name="Average of Stock_Utilization_%" fld="19" subtotal="average" showDataAs="normal" baseField="0" baseItem="0" numFmtId="10"/>
  </dataFields>
  <pivotTableStyleInfo name="PivotStyleLight16" showRowHeaders="1" showColHeaders="1" showRowStripes="0" showColStripes="0" showLastColumn="1"/>
</pivotTableDefinition>
</file>

<file path=xl/pivotTables/pivotTable8.xml><?xml version="1.0" encoding="utf-8"?>
<pivotTableDefinition xmlns="http://schemas.openxmlformats.org/spreadsheetml/2006/main" name="PT_LeadTime_by_Outle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B14" firstHeaderRow="1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descending" defaultSubtotal="1">
      <items count="11">
        <item t="data" sd="1" x="0"/>
        <item t="data" sd="1" x="3"/>
        <item t="data" sd="1" x="7"/>
        <item t="data" sd="1" x="8"/>
        <item t="data" sd="1" x="1"/>
        <item t="data" sd="1" x="2"/>
        <item t="data" sd="1" x="6"/>
        <item t="data" sd="1" x="5"/>
        <item t="data" sd="1" x="4"/>
        <item t="data" sd="1" x="9"/>
        <item t="default" sd="1"/>
      </items>
      <autoSortScope>
        <pivotArea type="normal" dataOnly="0" outline="0" fieldPosition="0">
          <references count="1">
            <reference field="4294967294" selected="0">
              <x v="0"/>
            </reference>
          </references>
        </pivotArea>
      </autoSortScope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Items count="1">
    <i t="data" r="0" i="0"/>
  </colItems>
  <dataFields count="1">
    <dataField name="Average of Supplier_Lead_Time_Days" fld="11" subtotal="average" showDataAs="normal" baseField="0" baseItem="0" numFmtId="2"/>
  </dataFields>
  <pivotTableStyleInfo name="PivotStyleLight16" showRowHeaders="1" showColHeaders="1" showRowStripes="0" showColStripes="0" showLastColumn="1"/>
</pivotTableDefinition>
</file>

<file path=xl/pivotTables/pivotTable9.xml><?xml version="1.0" encoding="utf-8"?>
<pivotTableDefinition xmlns="http://schemas.openxmlformats.org/spreadsheetml/2006/main" name="PT_Inventory_Movement" cacheId="1" dataOnRows="0" dataCaption="Values" showError="0" showMissing="1" updatedVersion="6" minRefreshableVersion="3" asteriskTotals="0" showItems="1" editData="0" disableFieldList="0" showCalcMbrs="1" visualTotals="1" showMultipleLabel="1" showDataDropDown="1" showDrill="1" printDrill="0" showMemberPropertyTips="1" showDataTips="1" enableWizard="1" enableDrill="1" enableFieldProperties="1" preserveFormatting="1" useAutoFormatting="1" pageWrap="0" pageOverThenDown="0" subtotalHiddenItems="0" rowGrandTotals="1" colGrandTotals="1" fieldPrintTitles="0" itemPrintTitles="1" mergeItem="0" showDropZones="1" createdVersion="6" indent="0" showEmptyRow="0" showEmptyCol="0" showHeaders="1" compact="1" outline="1" outlineData="1" compactData="1" published="0" gridDropZones="0" immersive="1" multipleFieldFilters="0" chartFormat="0" fieldListSortAscending="0" mdxSubqueries="0" applyNumberFormats="0" applyBorderFormats="0" applyFontFormats="0" applyPatternFormats="0" applyAlignmentFormats="0" applyWidthHeightFormats="1">
  <location ref="A3:F14" firstHeaderRow="0" firstDataRow="1" firstDataCol="1"/>
  <pivotFields count="22"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axis="axisRow" showDropDowns="1" compact="1" outline="1" subtotalTop="1" dragToRow="1" dragToCol="1" dragToPage="1" dragToData="1" dragOff="1" showAll="0" topAutoShow="1" itemPageCount="10" sortType="manual" defaultSubtotal="1">
      <items count="11">
        <item t="data" sd="1" x="0"/>
        <item t="data" sd="1" x="3"/>
        <item t="data" sd="1" x="4"/>
        <item t="data" sd="1" x="2"/>
        <item t="data" sd="1" x="9"/>
        <item t="data" sd="1" x="8"/>
        <item t="data" sd="1" x="5"/>
        <item t="data" sd="1" x="1"/>
        <item t="data" sd="1" x="7"/>
        <item t="data" sd="1" x="6"/>
        <item t="default" sd="1"/>
      </items>
    </pivotField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dataField="1"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  <pivotField showDropDowns="1" compact="1" outline="1" subtotalTop="1" dragToRow="1" dragToCol="1" dragToPage="1" dragToData="1" dragOff="1" showAll="0" topAutoShow="1" itemPageCount="10" sortType="manual" defaultSubtotal="1"/>
  </pivotFields>
  <rowFields count="1">
    <field x="2"/>
  </rowFields>
  <rowItems count="11">
    <i t="data" r="0" i="0">
      <x v="0"/>
    </i>
    <i t="data" r="0" i="0">
      <x v="1"/>
    </i>
    <i t="data" r="0" i="0">
      <x v="2"/>
    </i>
    <i t="data" r="0" i="0">
      <x v="3"/>
    </i>
    <i t="data" r="0" i="0">
      <x v="4"/>
    </i>
    <i t="data" r="0" i="0">
      <x v="5"/>
    </i>
    <i t="data" r="0" i="0">
      <x v="6"/>
    </i>
    <i t="data" r="0" i="0">
      <x v="7"/>
    </i>
    <i t="data" r="0" i="0">
      <x v="8"/>
    </i>
    <i t="data" r="0" i="0">
      <x v="9"/>
    </i>
    <i t="grand" r="0" i="0">
      <x v="0"/>
    </i>
  </rowItems>
  <colFields count="1">
    <field x="-2"/>
  </colFields>
  <colItems count="5">
    <i t="data" r="0" i="0">
      <x v="0"/>
    </i>
    <i t="data" r="0" i="1">
      <x v="1"/>
    </i>
    <i t="data" r="0" i="2">
      <x v="2"/>
    </i>
    <i t="data" r="0" i="3">
      <x v="3"/>
    </i>
    <i t="data" r="0" i="4">
      <x v="4"/>
    </i>
  </colItems>
  <dataFields count="5">
    <dataField name="Sum of Opening_Stock" fld="6" subtotal="sum" showDataAs="normal" baseField="0" baseItem="0" numFmtId="3"/>
    <dataField name="Sum of Received_Stock" fld="7" subtotal="sum" showDataAs="normal" baseField="0" baseItem="0" numFmtId="3"/>
    <dataField name="Sum of Units_Sold" fld="8" subtotal="sum" showDataAs="normal" baseField="0" baseItem="0" numFmtId="3"/>
    <dataField name="Sum of Wastage" fld="9" subtotal="sum" showDataAs="normal" baseField="0" baseItem="0" numFmtId="3"/>
    <dataField name="Sum of Closing_Stock_Adj" fld="16" subtotal="sum" showDataAs="normal" baseField="0" baseItem="0" numFmtId="3"/>
  </dataFields>
  <pivotTableStyleInfo name="PivotStyleLight16" showRowHeaders="1" showColHeaders="1" showRowStripes="0" showColStripes="0" showLastColumn="1"/>
</pivotTableDefinition>
</file>

<file path=xl/tables/table1.xml><?xml version="1.0" encoding="utf-8"?>
<table xmlns="http://schemas.openxmlformats.org/spreadsheetml/2006/main" id="1" name="InventoryTable" displayName="InventoryTable" ref="A1:W501" headerRowCount="1">
  <autoFilter ref="A1:W501"/>
  <tableColumns count="23">
    <tableColumn id="1" name="Inventory_ID"/>
    <tableColumn id="2" name="Outlet_ID"/>
    <tableColumn id="3" name="Outlet_Name"/>
    <tableColumn id="4" name="Product_ID"/>
    <tableColumn id="5" name="Product_Name"/>
    <tableColumn id="6" name="Category"/>
    <tableColumn id="7" name="Opening_Stock"/>
    <tableColumn id="8" name="Received_Stock"/>
    <tableColumn id="9" name="Units_Sold"/>
    <tableColumn id="10" name="Wastage"/>
    <tableColumn id="11" name="Reorder_Level"/>
    <tableColumn id="12" name="Supplier_Lead_Time_Days"/>
    <tableColumn id="13" name="Closing_Stock_Source"/>
    <tableColumn id="14" name="Status_Source"/>
    <tableColumn id="15" name="Stock_Available"/>
    <tableColumn id="16" name="Closing_Stock"/>
    <tableColumn id="17" name="Closing_Stock_Adj"/>
    <tableColumn id="18" name="Stock_Shortfall"/>
    <tableColumn id="19" name="Wastage_%"/>
    <tableColumn id="20" name="Stock_Utilization_%"/>
    <tableColumn id="21" name="Reorder_Status"/>
    <tableColumn id="22" name="Data_Check"/>
    <tableColumn id="23" name="Remarks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3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4.xml" Id="rId1"/></Relationships>
</file>

<file path=xl/worksheets/_rels/sheet6.xml.rels><Relationships xmlns="http://schemas.openxmlformats.org/package/2006/relationships"><Relationship Type="http://schemas.openxmlformats.org/officeDocument/2006/relationships/pivotTable" Target="/xl/pivotTables/pivotTable5.xml" Id="rId1"/></Relationships>
</file>

<file path=xl/worksheets/_rels/sheet7.xml.rels><Relationships xmlns="http://schemas.openxmlformats.org/package/2006/relationships"><Relationship Type="http://schemas.openxmlformats.org/officeDocument/2006/relationships/pivotTable" Target="/xl/pivotTables/pivotTable6.xml" Id="rId1"/></Relationships>
</file>

<file path=xl/worksheets/_rels/sheet8.xml.rels><Relationships xmlns="http://schemas.openxmlformats.org/package/2006/relationships"><Relationship Type="http://schemas.openxmlformats.org/officeDocument/2006/relationships/pivotTable" Target="/xl/pivotTables/pivotTable7.xml" Id="rId1"/></Relationships>
</file>

<file path=xl/worksheets/_rels/sheet9.xml.rels><Relationships xmlns="http://schemas.openxmlformats.org/package/2006/relationships"><Relationship Type="http://schemas.openxmlformats.org/officeDocument/2006/relationships/pivotTable" Target="/xl/pivotTables/pivotTable8.xml" Id="rId1"/></Relationships>
</file>

<file path=xl/worksheets/_rels/sheet10.xml.rels><Relationships xmlns="http://schemas.openxmlformats.org/package/2006/relationships"><Relationship Type="http://schemas.openxmlformats.org/officeDocument/2006/relationships/pivotTable" Target="/xl/pivotTables/pivotTable9.xml" Id="rId1"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tabColor rgb="006F4E37"/>
    <outlinePr summaryBelow="1" summaryRight="1"/>
    <pageSetUpPr/>
  </sheetPr>
  <dimension ref="B1:Q66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1.5" customWidth="1" min="2" max="2"/>
    <col width="11.5" customWidth="1" min="3" max="3"/>
    <col width="11.5" customWidth="1" min="4" max="4"/>
    <col width="11.5" customWidth="1" min="5" max="5"/>
    <col width="11.5" customWidth="1" min="6" max="6"/>
    <col width="11.5" customWidth="1" min="7" max="7"/>
    <col width="11.5" customWidth="1" min="8" max="8"/>
    <col width="11.5" customWidth="1" min="9" max="9"/>
    <col width="11.5" customWidth="1" min="10" max="10"/>
    <col width="11.5" customWidth="1" min="11" max="11"/>
    <col width="11.5" customWidth="1" min="12" max="12"/>
    <col width="11.5" customWidth="1" min="13" max="13"/>
    <col width="11.5" customWidth="1" min="14" max="14"/>
    <col width="11.5" customWidth="1" min="15" max="15"/>
    <col width="11.5" customWidth="1" min="16" max="16"/>
    <col width="11.5" customWidth="1" min="17" max="17"/>
    <col width="11.5" customWidth="1" min="18" max="18"/>
  </cols>
  <sheetData>
    <row r="1" ht="34" customHeight="1">
      <c r="B1" s="1" t="inlineStr">
        <is>
          <t>☕ BrewBean Inventory Dashboard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>
      <c r="B2" s="3" t="inlineStr">
        <is>
          <t>500 outlet–product stock lines · 10 outlets · 50 products · all figures are live formulas</t>
        </is>
      </c>
    </row>
    <row r="4" ht="24" customHeight="1">
      <c r="B4" s="4" t="inlineStr">
        <is>
          <t>🛒  TOTAL UNITS SOLD</t>
        </is>
      </c>
      <c r="C4" s="5" t="n"/>
      <c r="D4" s="6" t="n"/>
      <c r="E4" s="7" t="inlineStr">
        <is>
          <t>🗑️  TOTAL WASTAGE</t>
        </is>
      </c>
      <c r="F4" s="8" t="n"/>
      <c r="G4" s="9" t="n"/>
      <c r="H4" s="10" t="inlineStr">
        <is>
          <t>📦  TOTAL CLOSING STOCK</t>
        </is>
      </c>
      <c r="I4" s="11" t="n"/>
      <c r="J4" s="11" t="n"/>
      <c r="K4" s="12" t="n"/>
      <c r="L4" s="13" t="inlineStr">
        <is>
          <t>🎯  AVG STOCK UTILIZATION</t>
        </is>
      </c>
      <c r="M4" s="14" t="n"/>
      <c r="N4" s="15" t="n"/>
      <c r="O4" s="16" t="inlineStr">
        <is>
          <t>🔔  PRODUCTS REQUIRING REORDER</t>
        </is>
      </c>
      <c r="P4" s="17" t="n"/>
      <c r="Q4" s="18" t="n"/>
    </row>
    <row r="5" ht="22" customHeight="1">
      <c r="B5" s="19">
        <f>SUM(Inventory_Clean!$I$2:$I$501)</f>
        <v/>
      </c>
      <c r="C5" s="20" t="n"/>
      <c r="D5" s="21" t="n"/>
      <c r="E5" s="22">
        <f>SUM(Inventory_Clean!$J$2:$J$501)</f>
        <v/>
      </c>
      <c r="F5" s="23" t="n"/>
      <c r="G5" s="24" t="n"/>
      <c r="H5" s="25">
        <f>SUM(Inventory_Clean!$Q$2:$Q$501)</f>
        <v/>
      </c>
      <c r="I5" s="26" t="n"/>
      <c r="J5" s="26" t="n"/>
      <c r="K5" s="27" t="n"/>
      <c r="L5" s="28">
        <f>AVERAGE(Inventory_Clean!$T$2:$T$501)</f>
        <v/>
      </c>
      <c r="M5" s="29" t="n"/>
      <c r="N5" s="30" t="n"/>
      <c r="O5" s="31">
        <f>COUNTIF(Pivot_Tables!$L$42:$L$91,"&gt;0")</f>
        <v/>
      </c>
      <c r="P5" s="32" t="n"/>
      <c r="Q5" s="33" t="n"/>
    </row>
    <row r="6" ht="22" customHeight="1">
      <c r="B6" s="34" t="n"/>
      <c r="C6" s="20" t="n"/>
      <c r="D6" s="21" t="n"/>
      <c r="E6" s="35" t="n"/>
      <c r="F6" s="23" t="n"/>
      <c r="G6" s="24" t="n"/>
      <c r="H6" s="36" t="n"/>
      <c r="I6" s="26" t="n"/>
      <c r="J6" s="26" t="n"/>
      <c r="K6" s="27" t="n"/>
      <c r="L6" s="37" t="n"/>
      <c r="M6" s="29" t="n"/>
      <c r="N6" s="30" t="n"/>
      <c r="O6" s="38" t="n"/>
      <c r="P6" s="32" t="n"/>
      <c r="Q6" s="33" t="n"/>
    </row>
    <row r="7" ht="26" customHeight="1">
      <c r="B7" s="39">
        <f>"≈ "&amp;TEXT(B5/10,"#,##0")&amp;" per outlet"</f>
        <v/>
      </c>
      <c r="C7" s="40" t="n"/>
      <c r="D7" s="41" t="n"/>
      <c r="E7" s="42">
        <f>TEXT(E5/SUM(Inventory_Clean!$O$2:$O$501),"0.00%")&amp;" of stock available"</f>
        <v/>
      </c>
      <c r="F7" s="43" t="n"/>
      <c r="G7" s="44" t="n"/>
      <c r="H7" s="45">
        <f>"Shortfall on "&amp;COUNTIF(Inventory_Clean!$P$2:$P$501,"&lt;0")&amp;" lines: "&amp;TEXT(SUM(Inventory_Clean!$R$2:$R$501),"#,##0")&amp;" units"</f>
        <v/>
      </c>
      <c r="I7" s="46" t="n"/>
      <c r="J7" s="46" t="n"/>
      <c r="K7" s="47" t="n"/>
      <c r="L7" s="48">
        <f>COUNTIF(Inventory_Clean!$T$2:$T$501,"&gt;1")&amp;" lines sold above 100% of stock"</f>
        <v/>
      </c>
      <c r="M7" s="49" t="n"/>
      <c r="N7" s="50" t="n"/>
      <c r="O7" s="51">
        <f>COUNTIF(Inventory_Clean!$U$2:$U$501,"Reorder Required")&amp;" lines ("&amp;TEXT(COUNTIF(Inventory_Clean!$U$2:$U$501,"Reorder Required")/COUNTA(Inventory_Clean!$A$2:$A$501),"0%")&amp;") at/below reorder level"</f>
        <v/>
      </c>
      <c r="P7" s="52" t="n"/>
      <c r="Q7" s="53" t="n"/>
    </row>
    <row r="57">
      <c r="B57" s="54" t="inlineStr">
        <is>
          <t>💡 BUSINESS INSIGHTS</t>
        </is>
      </c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  <c r="Q57" s="2" t="n"/>
    </row>
    <row r="58" ht="46" customHeight="1">
      <c r="B58" s="55" t="inlineStr">
        <is>
          <t>Highest-selling outlet</t>
        </is>
      </c>
      <c r="C58" s="56" t="n"/>
      <c r="D58" s="56" t="n"/>
      <c r="E58" s="57">
        <f>INDEX(Pivot_Tables!$B$7:$B$16,MATCH(MAX(Pivot_Tables!$C$7:$C$16),Pivot_Tables!$C$7:$C$16,0))&amp;" sold the most – "&amp;TEXT(MAX(Pivot_Tables!$C$7:$C$16),"#,##0")&amp;" units ("&amp;TEXT(MAX(Pivot_Tables!$C$7:$C$16)/Pivot_Tables!$C$17,"0.0%")&amp;" of all units). Lowest: "&amp;INDEX(Pivot_Tables!$B$7:$B$16,MATCH(MIN(Pivot_Tables!$C$7:$C$16),Pivot_Tables!$C$7:$C$16,0))&amp;" with "&amp;TEXT(MIN(Pivot_Tables!$C$7:$C$16),"#,##0")&amp;" units."</f>
        <v/>
      </c>
      <c r="F58" s="56" t="n"/>
      <c r="G58" s="56" t="n"/>
      <c r="H58" s="56" t="n"/>
      <c r="I58" s="56" t="n"/>
      <c r="J58" s="56" t="n"/>
      <c r="K58" s="56" t="n"/>
      <c r="L58" s="56" t="n"/>
      <c r="M58" s="56" t="n"/>
      <c r="N58" s="56" t="n"/>
      <c r="O58" s="56" t="n"/>
      <c r="P58" s="56" t="n"/>
      <c r="Q58" s="56" t="n"/>
    </row>
    <row r="59" ht="46" customHeight="1">
      <c r="B59" s="58" t="inlineStr">
        <is>
          <t>Highest-wastage outlet</t>
        </is>
      </c>
      <c r="C59" s="59" t="n"/>
      <c r="D59" s="59" t="n"/>
      <c r="E59" s="60">
        <f>INDEX(Pivot_Tables!$F$7:$F$16,MATCH(MAX(Pivot_Tables!$G$7:$G$16),Pivot_Tables!$G$7:$G$16,0))&amp;" has the highest wastage – "&amp;TEXT(MAX(Pivot_Tables!$G$7:$G$16),"#,##0")&amp;" units ("&amp;TEXT(INDEX(Pivot_Tables!$H$7:$H$16,MATCH(MAX(Pivot_Tables!$G$7:$G$16),Pivot_Tables!$G$7:$G$16,0)),"0.00%")&amp;" of available stock). Lowest: "&amp;INDEX(Pivot_Tables!$F$7:$F$16,MATCH(MIN(Pivot_Tables!$G$7:$G$16),Pivot_Tables!$G$7:$G$16,0))&amp;" ("&amp;TEXT(MIN(Pivot_Tables!$G$7:$G$16),"#,##0")&amp;" units)."</f>
        <v/>
      </c>
      <c r="F59" s="59" t="n"/>
      <c r="G59" s="59" t="n"/>
      <c r="H59" s="59" t="n"/>
      <c r="I59" s="59" t="n"/>
      <c r="J59" s="59" t="n"/>
      <c r="K59" s="59" t="n"/>
      <c r="L59" s="59" t="n"/>
      <c r="M59" s="59" t="n"/>
      <c r="N59" s="59" t="n"/>
      <c r="O59" s="59" t="n"/>
      <c r="P59" s="59" t="n"/>
      <c r="Q59" s="59" t="n"/>
    </row>
    <row r="60" ht="46" customHeight="1">
      <c r="B60" s="55" t="inlineStr">
        <is>
          <t>Best-selling products</t>
        </is>
      </c>
      <c r="C60" s="56" t="n"/>
      <c r="D60" s="56" t="n"/>
      <c r="E60" s="57">
        <f>"Top 3 by units sold: "&amp;INDEX(Pivot_Tables!$R$42:$R$51,1)&amp;" ("&amp;TEXT(INDEX(Pivot_Tables!$S$42:$S$51,1),"#,##0")&amp;" units)"&amp;", "&amp;INDEX(Pivot_Tables!$R$42:$R$51,2)&amp;" ("&amp;TEXT(INDEX(Pivot_Tables!$S$42:$S$51,2),"#,##0")&amp;" units)"&amp;" and "&amp;INDEX(Pivot_Tables!$R$42:$R$51,3)&amp;" ("&amp;TEXT(INDEX(Pivot_Tables!$S$42:$S$51,3),"#,##0")&amp;" units)"&amp;"."</f>
        <v/>
      </c>
      <c r="F60" s="56" t="n"/>
      <c r="G60" s="56" t="n"/>
      <c r="H60" s="56" t="n"/>
      <c r="I60" s="56" t="n"/>
      <c r="J60" s="56" t="n"/>
      <c r="K60" s="56" t="n"/>
      <c r="L60" s="56" t="n"/>
      <c r="M60" s="56" t="n"/>
      <c r="N60" s="56" t="n"/>
      <c r="O60" s="56" t="n"/>
      <c r="P60" s="56" t="n"/>
      <c r="Q60" s="56" t="n"/>
    </row>
    <row r="61" ht="46" customHeight="1">
      <c r="B61" s="58" t="inlineStr">
        <is>
          <t>Products requiring reorder</t>
        </is>
      </c>
      <c r="C61" s="59" t="n"/>
      <c r="D61" s="59" t="n"/>
      <c r="E61" s="60">
        <f>COUNTIF(Pivot_Tables!$L$42:$L$91,"&gt;0")&amp;" of "&amp;COUNTA(Pivot_Tables!$K$42:$K$91)&amp;" products are at/below reorder level in at least one outlet ("&amp;COUNTIF(Inventory_Clean!$U$2:$U$501,"Reorder Required")&amp;" of "&amp;COUNTA(Inventory_Clean!$A$2:$A$501)&amp;" lines). Most exposed products (outlets at/below reorder level): "&amp;INDEX(Pivot_Tables!$K$42:$K$91,MATCH(LARGE(Pivot_Tables!$O$42:$O$91,1),Pivot_Tables!$O$42:$O$91,0))&amp;" ("&amp;TEXT(INDEX(Pivot_Tables!$L$42:$L$91,MATCH(LARGE(Pivot_Tables!$O$42:$O$91,1),Pivot_Tables!$O$42:$O$91,0)),"0")&amp;")"&amp;", "&amp;INDEX(Pivot_Tables!$K$42:$K$91,MATCH(LARGE(Pivot_Tables!$O$42:$O$91,2),Pivot_Tables!$O$42:$O$91,0))&amp;" ("&amp;TEXT(INDEX(Pivot_Tables!$L$42:$L$91,MATCH(LARGE(Pivot_Tables!$O$42:$O$91,2),Pivot_Tables!$O$42:$O$91,0)),"0")&amp;")"&amp;", "&amp;INDEX(Pivot_Tables!$K$42:$K$91,MATCH(LARGE(Pivot_Tables!$O$42:$O$91,3),Pivot_Tables!$O$42:$O$91,0))&amp;" ("&amp;TEXT(INDEX(Pivot_Tables!$L$42:$L$91,MATCH(LARGE(Pivot_Tables!$O$42:$O$91,3),Pivot_Tables!$O$42:$O$91,0)),"0")&amp;")"&amp;". Outlet with most reorder lines: "&amp;INDEX(Pivot_Tables!$J$7:$J$16,MATCH(MAX(Pivot_Tables!$M$7:$M$16),Pivot_Tables!$M$7:$M$16,0))&amp;" ("&amp;MAX(Pivot_Tables!$M$7:$M$16)&amp;")."</f>
        <v/>
      </c>
      <c r="F61" s="59" t="n"/>
      <c r="G61" s="59" t="n"/>
      <c r="H61" s="59" t="n"/>
      <c r="I61" s="59" t="n"/>
      <c r="J61" s="59" t="n"/>
      <c r="K61" s="59" t="n"/>
      <c r="L61" s="59" t="n"/>
      <c r="M61" s="59" t="n"/>
      <c r="N61" s="59" t="n"/>
      <c r="O61" s="59" t="n"/>
      <c r="P61" s="59" t="n"/>
      <c r="Q61" s="59" t="n"/>
    </row>
    <row r="62" ht="46" customHeight="1">
      <c r="B62" s="55" t="inlineStr">
        <is>
          <t>Outlets with low stock utilization</t>
        </is>
      </c>
      <c r="C62" s="56" t="n"/>
      <c r="D62" s="56" t="n"/>
      <c r="E62" s="57">
        <f>"Below the "&amp;TEXT(Pivot_Tables!$P$17,"0.0%")&amp;" average: "&amp;IF(Pivot_Tables!$V$16="","none",Pivot_Tables!$V$16)&amp;". Lowest: "&amp;INDEX(Pivot_Tables!$O$7:$O$16,MATCH(MIN(Pivot_Tables!$P$7:$P$16),Pivot_Tables!$P$7:$P$16,0))&amp;" ("&amp;TEXT(MIN(Pivot_Tables!$P$7:$P$16),"0.0%")&amp;")."</f>
        <v/>
      </c>
      <c r="F62" s="56" t="n"/>
      <c r="G62" s="56" t="n"/>
      <c r="H62" s="56" t="n"/>
      <c r="I62" s="56" t="n"/>
      <c r="J62" s="56" t="n"/>
      <c r="K62" s="56" t="n"/>
      <c r="L62" s="56" t="n"/>
      <c r="M62" s="56" t="n"/>
      <c r="N62" s="56" t="n"/>
      <c r="O62" s="56" t="n"/>
      <c r="P62" s="56" t="n"/>
      <c r="Q62" s="56" t="n"/>
    </row>
    <row r="63" ht="46" customHeight="1">
      <c r="B63" s="58" t="inlineStr">
        <is>
          <t>Products with high wastage</t>
        </is>
      </c>
      <c r="C63" s="59" t="n"/>
      <c r="D63" s="59" t="n"/>
      <c r="E63" s="60">
        <f>"Highest wastage: "&amp;INDEX(Pivot_Tables!$G$42:$G$91,MATCH(LARGE(Pivot_Tables!$J$42:$J$91,1),Pivot_Tables!$J$42:$J$91,0))&amp;" ("&amp;TEXT(INDEX(Pivot_Tables!$H$42:$H$91,MATCH(LARGE(Pivot_Tables!$J$42:$J$91,1),Pivot_Tables!$J$42:$J$91,0)),"#,##0")&amp;")"&amp;", "&amp;INDEX(Pivot_Tables!$G$42:$G$91,MATCH(LARGE(Pivot_Tables!$J$42:$J$91,2),Pivot_Tables!$J$42:$J$91,0))&amp;" ("&amp;TEXT(INDEX(Pivot_Tables!$H$42:$H$91,MATCH(LARGE(Pivot_Tables!$J$42:$J$91,2),Pivot_Tables!$J$42:$J$91,0)),"#,##0")&amp;")"&amp;", "&amp;INDEX(Pivot_Tables!$G$42:$G$91,MATCH(LARGE(Pivot_Tables!$J$42:$J$91,3),Pivot_Tables!$J$42:$J$91,0))&amp;" ("&amp;TEXT(INDEX(Pivot_Tables!$H$42:$H$91,MATCH(LARGE(Pivot_Tables!$J$42:$J$91,3),Pivot_Tables!$J$42:$J$91,0)),"#,##0")&amp;")"&amp;" units. Overall wastage is "&amp;TEXT(Pivot_Tables!$I$92,"0.00%")&amp;" of available stock – low, so reorder timing matters more than spoilage."</f>
        <v/>
      </c>
      <c r="F63" s="59" t="n"/>
      <c r="G63" s="59" t="n"/>
      <c r="H63" s="59" t="n"/>
      <c r="I63" s="59" t="n"/>
      <c r="J63" s="59" t="n"/>
      <c r="K63" s="59" t="n"/>
      <c r="L63" s="59" t="n"/>
      <c r="M63" s="59" t="n"/>
      <c r="N63" s="59" t="n"/>
      <c r="O63" s="59" t="n"/>
      <c r="P63" s="59" t="n"/>
      <c r="Q63" s="59" t="n"/>
    </row>
    <row r="64" ht="46" customHeight="1">
      <c r="B64" s="55" t="inlineStr">
        <is>
          <t>Data alert</t>
        </is>
      </c>
      <c r="C64" s="56" t="n"/>
      <c r="D64" s="56" t="n"/>
      <c r="E64" s="57">
        <f>COUNTIF(Inventory_Clean!$P$2:$P$501,"&lt;0")&amp;" lines end with negative calculated closing stock (units sold exceeded Opening + Received on "&amp;COUNTIF(Inventory_Clean!$T$2:$T$501,"&gt;1")&amp;" of them), a combined shortfall of "&amp;TEXT(SUM(Inventory_Clean!$R$2:$R$501),"#,##0")&amp;" units. This points to unrecorded stock receipts or under-stocking – verify with the outlets. Largest shortfall: "&amp;INDEX(Pivot_Tables!$J$7:$J$16,MATCH(MAX(Pivot_Tables!$L$7:$L$16),Pivot_Tables!$L$7:$L$16,0))&amp;" ("&amp;TEXT(MAX(Pivot_Tables!$L$7:$L$16),"#,##0")&amp;" units). No date field exists, so true monthly movement could not be built."</f>
        <v/>
      </c>
      <c r="F64" s="56" t="n"/>
      <c r="G64" s="56" t="n"/>
      <c r="H64" s="56" t="n"/>
      <c r="I64" s="56" t="n"/>
      <c r="J64" s="56" t="n"/>
      <c r="K64" s="56" t="n"/>
      <c r="L64" s="56" t="n"/>
      <c r="M64" s="56" t="n"/>
      <c r="N64" s="56" t="n"/>
      <c r="O64" s="56" t="n"/>
      <c r="P64" s="56" t="n"/>
      <c r="Q64" s="56" t="n"/>
    </row>
    <row r="66">
      <c r="B66" s="61" t="inlineStr">
        <is>
          <t>Closing Stock = Opening + Received − Units Sold − Wastage (negatives floored at 0 for totals). Utilization = Units Sold ÷ (Opening + Received). Reorder when Closing Stock ≤ Reorder Level.</t>
        </is>
      </c>
    </row>
  </sheetData>
  <mergeCells count="33">
    <mergeCell ref="B60:D60"/>
    <mergeCell ref="B5:D6"/>
    <mergeCell ref="B61:D61"/>
    <mergeCell ref="O4:Q4"/>
    <mergeCell ref="E61:Q61"/>
    <mergeCell ref="L4:N4"/>
    <mergeCell ref="O5:Q6"/>
    <mergeCell ref="E5:G6"/>
    <mergeCell ref="E58:Q58"/>
    <mergeCell ref="E7:G7"/>
    <mergeCell ref="B64:D64"/>
    <mergeCell ref="E62:Q62"/>
    <mergeCell ref="H4:K4"/>
    <mergeCell ref="B66:Q66"/>
    <mergeCell ref="B63:D63"/>
    <mergeCell ref="B4:D4"/>
    <mergeCell ref="L5:N6"/>
    <mergeCell ref="O7:Q7"/>
    <mergeCell ref="E64:Q64"/>
    <mergeCell ref="B62:D62"/>
    <mergeCell ref="B2:Q2"/>
    <mergeCell ref="B7:D7"/>
    <mergeCell ref="E63:Q63"/>
    <mergeCell ref="L7:N7"/>
    <mergeCell ref="H5:K6"/>
    <mergeCell ref="B59:D59"/>
    <mergeCell ref="E60:Q60"/>
    <mergeCell ref="B1:Q1"/>
    <mergeCell ref="B57:Q57"/>
    <mergeCell ref="B58:D58"/>
    <mergeCell ref="E4:G4"/>
    <mergeCell ref="H7:K7"/>
    <mergeCell ref="E59:Q59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3B6FB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Units Sold by Outlet</t>
        </is>
      </c>
    </row>
    <row r="3">
      <c r="A3" s="63" t="inlineStr">
        <is>
          <t>Row Labels</t>
        </is>
      </c>
      <c r="B3" s="63" t="inlineStr">
        <is>
          <t>Sum of Units_Sold</t>
        </is>
      </c>
    </row>
    <row r="4">
      <c r="A4" s="64" t="inlineStr">
        <is>
          <t>BrewBean RS Puram</t>
        </is>
      </c>
      <c r="B4" s="65" t="n">
        <v>5554</v>
      </c>
    </row>
    <row r="5">
      <c r="A5" s="64" t="inlineStr">
        <is>
          <t>BrewBean Saravanampatti</t>
        </is>
      </c>
      <c r="B5" s="65" t="n">
        <v>4676</v>
      </c>
    </row>
    <row r="6">
      <c r="A6" s="64" t="inlineStr">
        <is>
          <t>BrewBean Saibaba Colony</t>
        </is>
      </c>
      <c r="B6" s="65" t="n">
        <v>4557</v>
      </c>
    </row>
    <row r="7">
      <c r="A7" s="64" t="inlineStr">
        <is>
          <t>BrewBean Gandhipuram</t>
        </is>
      </c>
      <c r="B7" s="65" t="n">
        <v>4419</v>
      </c>
    </row>
    <row r="8">
      <c r="A8" s="64" t="inlineStr">
        <is>
          <t>BrewBean Trichy</t>
        </is>
      </c>
      <c r="B8" s="65" t="n">
        <v>4330</v>
      </c>
    </row>
    <row r="9">
      <c r="A9" s="64" t="inlineStr">
        <is>
          <t>BrewBean Madurai</t>
        </is>
      </c>
      <c r="B9" s="65" t="n">
        <v>4293</v>
      </c>
    </row>
    <row r="10">
      <c r="A10" s="64" t="inlineStr">
        <is>
          <t>BrewBean Tiruppur</t>
        </is>
      </c>
      <c r="B10" s="65" t="n">
        <v>4270</v>
      </c>
    </row>
    <row r="11">
      <c r="A11" s="64" t="inlineStr">
        <is>
          <t>BrewBean Peelamedu</t>
        </is>
      </c>
      <c r="B11" s="65" t="n">
        <v>4251</v>
      </c>
    </row>
    <row r="12">
      <c r="A12" s="64" t="inlineStr">
        <is>
          <t>BrewBean Salem</t>
        </is>
      </c>
      <c r="B12" s="65" t="n">
        <v>4194</v>
      </c>
    </row>
    <row r="13">
      <c r="A13" s="64" t="inlineStr">
        <is>
          <t>BrewBean Pollachi</t>
        </is>
      </c>
      <c r="B13" s="65" t="n">
        <v>4028</v>
      </c>
    </row>
    <row r="14">
      <c r="A14" s="63" t="inlineStr">
        <is>
          <t>Grand Total</t>
        </is>
      </c>
      <c r="B14" s="66" t="n">
        <v>44572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B6FB6"/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Units Sold by Product (Category ▸ Product)</t>
        </is>
      </c>
    </row>
    <row r="3">
      <c r="A3" s="63" t="inlineStr">
        <is>
          <t>Row Labels</t>
        </is>
      </c>
      <c r="B3" s="63" t="inlineStr">
        <is>
          <t>Sum of Units_Sold</t>
        </is>
      </c>
    </row>
    <row r="4">
      <c r="A4" s="63" t="inlineStr">
        <is>
          <t>Coffee</t>
        </is>
      </c>
      <c r="B4" s="66" t="n">
        <v>3809</v>
      </c>
    </row>
    <row r="5">
      <c r="A5" s="67" t="inlineStr">
        <is>
          <t>Product 16</t>
        </is>
      </c>
      <c r="B5" s="65" t="n">
        <v>1096</v>
      </c>
    </row>
    <row r="6">
      <c r="A6" s="67" t="inlineStr">
        <is>
          <t>Product 1</t>
        </is>
      </c>
      <c r="B6" s="65" t="n">
        <v>1021</v>
      </c>
    </row>
    <row r="7">
      <c r="A7" s="67" t="inlineStr">
        <is>
          <t>Product 31</t>
        </is>
      </c>
      <c r="B7" s="65" t="n">
        <v>852</v>
      </c>
    </row>
    <row r="8">
      <c r="A8" s="67" t="inlineStr">
        <is>
          <t>Product 46</t>
        </is>
      </c>
      <c r="B8" s="65" t="n">
        <v>840</v>
      </c>
    </row>
    <row r="9">
      <c r="A9" s="63" t="inlineStr">
        <is>
          <t>Tea</t>
        </is>
      </c>
      <c r="B9" s="66" t="n">
        <v>3674</v>
      </c>
    </row>
    <row r="10">
      <c r="A10" s="67" t="inlineStr">
        <is>
          <t>Product 49</t>
        </is>
      </c>
      <c r="B10" s="65" t="n">
        <v>992</v>
      </c>
    </row>
    <row r="11">
      <c r="A11" s="67" t="inlineStr">
        <is>
          <t>Product 34</t>
        </is>
      </c>
      <c r="B11" s="65" t="n">
        <v>917</v>
      </c>
    </row>
    <row r="12">
      <c r="A12" s="67" t="inlineStr">
        <is>
          <t>Product 4</t>
        </is>
      </c>
      <c r="B12" s="65" t="n">
        <v>887</v>
      </c>
    </row>
    <row r="13">
      <c r="A13" s="67" t="inlineStr">
        <is>
          <t>Product 19</t>
        </is>
      </c>
      <c r="B13" s="65" t="n">
        <v>878</v>
      </c>
    </row>
    <row r="14">
      <c r="A14" s="63" t="inlineStr">
        <is>
          <t>Fresh Juice</t>
        </is>
      </c>
      <c r="B14" s="66" t="n">
        <v>3641</v>
      </c>
    </row>
    <row r="15">
      <c r="A15" s="67" t="inlineStr">
        <is>
          <t>Product 20</t>
        </is>
      </c>
      <c r="B15" s="65" t="n">
        <v>1069</v>
      </c>
    </row>
    <row r="16">
      <c r="A16" s="67" t="inlineStr">
        <is>
          <t>Product 5</t>
        </is>
      </c>
      <c r="B16" s="65" t="n">
        <v>904</v>
      </c>
    </row>
    <row r="17">
      <c r="A17" s="67" t="inlineStr">
        <is>
          <t>Product 50</t>
        </is>
      </c>
      <c r="B17" s="65" t="n">
        <v>868</v>
      </c>
    </row>
    <row r="18">
      <c r="A18" s="67" t="inlineStr">
        <is>
          <t>Product 35</t>
        </is>
      </c>
      <c r="B18" s="65" t="n">
        <v>800</v>
      </c>
    </row>
    <row r="19">
      <c r="A19" s="63" t="inlineStr">
        <is>
          <t>Cold Coffee</t>
        </is>
      </c>
      <c r="B19" s="66" t="n">
        <v>3635</v>
      </c>
    </row>
    <row r="20">
      <c r="A20" s="67" t="inlineStr">
        <is>
          <t>Product 47</t>
        </is>
      </c>
      <c r="B20" s="65" t="n">
        <v>1030</v>
      </c>
    </row>
    <row r="21">
      <c r="A21" s="67" t="inlineStr">
        <is>
          <t>Product 32</t>
        </is>
      </c>
      <c r="B21" s="65" t="n">
        <v>928</v>
      </c>
    </row>
    <row r="22">
      <c r="A22" s="67" t="inlineStr">
        <is>
          <t>Product 2</t>
        </is>
      </c>
      <c r="B22" s="65" t="n">
        <v>878</v>
      </c>
    </row>
    <row r="23">
      <c r="A23" s="67" t="inlineStr">
        <is>
          <t>Product 17</t>
        </is>
      </c>
      <c r="B23" s="65" t="n">
        <v>799</v>
      </c>
    </row>
    <row r="24">
      <c r="A24" s="63" t="inlineStr">
        <is>
          <t>Frappes</t>
        </is>
      </c>
      <c r="B24" s="66" t="n">
        <v>3276</v>
      </c>
    </row>
    <row r="25">
      <c r="A25" s="67" t="inlineStr">
        <is>
          <t>Product 3</t>
        </is>
      </c>
      <c r="B25" s="65" t="n">
        <v>944</v>
      </c>
    </row>
    <row r="26">
      <c r="A26" s="67" t="inlineStr">
        <is>
          <t>Product 18</t>
        </is>
      </c>
      <c r="B26" s="65" t="n">
        <v>824</v>
      </c>
    </row>
    <row r="27">
      <c r="A27" s="67" t="inlineStr">
        <is>
          <t>Product 33</t>
        </is>
      </c>
      <c r="B27" s="65" t="n">
        <v>816</v>
      </c>
    </row>
    <row r="28">
      <c r="A28" s="67" t="inlineStr">
        <is>
          <t>Product 48</t>
        </is>
      </c>
      <c r="B28" s="65" t="n">
        <v>692</v>
      </c>
    </row>
    <row r="29">
      <c r="A29" s="63" t="inlineStr">
        <is>
          <t>Pastry</t>
        </is>
      </c>
      <c r="B29" s="66" t="n">
        <v>2921</v>
      </c>
    </row>
    <row r="30">
      <c r="A30" s="67" t="inlineStr">
        <is>
          <t>Product 26</t>
        </is>
      </c>
      <c r="B30" s="65" t="n">
        <v>1088</v>
      </c>
    </row>
    <row r="31">
      <c r="A31" s="67" t="inlineStr">
        <is>
          <t>Product 11</t>
        </is>
      </c>
      <c r="B31" s="65" t="n">
        <v>992</v>
      </c>
    </row>
    <row r="32">
      <c r="A32" s="67" t="inlineStr">
        <is>
          <t>Product 41</t>
        </is>
      </c>
      <c r="B32" s="65" t="n">
        <v>841</v>
      </c>
    </row>
    <row r="33">
      <c r="A33" s="63" t="inlineStr">
        <is>
          <t>Sandwich</t>
        </is>
      </c>
      <c r="B33" s="66" t="n">
        <v>2827</v>
      </c>
    </row>
    <row r="34">
      <c r="A34" s="67" t="inlineStr">
        <is>
          <t>Product 37</t>
        </is>
      </c>
      <c r="B34" s="65" t="n">
        <v>1062</v>
      </c>
    </row>
    <row r="35">
      <c r="A35" s="67" t="inlineStr">
        <is>
          <t>Product 7</t>
        </is>
      </c>
      <c r="B35" s="65" t="n">
        <v>941</v>
      </c>
    </row>
    <row r="36">
      <c r="A36" s="67" t="inlineStr">
        <is>
          <t>Product 22</t>
        </is>
      </c>
      <c r="B36" s="65" t="n">
        <v>824</v>
      </c>
    </row>
    <row r="37">
      <c r="A37" s="63" t="inlineStr">
        <is>
          <t>Cake</t>
        </is>
      </c>
      <c r="B37" s="66" t="n">
        <v>2790</v>
      </c>
    </row>
    <row r="38">
      <c r="A38" s="67" t="inlineStr">
        <is>
          <t>Product 27</t>
        </is>
      </c>
      <c r="B38" s="65" t="n">
        <v>1013</v>
      </c>
    </row>
    <row r="39">
      <c r="A39" s="67" t="inlineStr">
        <is>
          <t>Product 42</t>
        </is>
      </c>
      <c r="B39" s="65" t="n">
        <v>1009</v>
      </c>
    </row>
    <row r="40">
      <c r="A40" s="67" t="inlineStr">
        <is>
          <t>Product 12</t>
        </is>
      </c>
      <c r="B40" s="65" t="n">
        <v>768</v>
      </c>
    </row>
    <row r="41">
      <c r="A41" s="63" t="inlineStr">
        <is>
          <t>Wrap</t>
        </is>
      </c>
      <c r="B41" s="66" t="n">
        <v>2710</v>
      </c>
    </row>
    <row r="42">
      <c r="A42" s="67" t="inlineStr">
        <is>
          <t>Product 9</t>
        </is>
      </c>
      <c r="B42" s="65" t="n">
        <v>1066</v>
      </c>
    </row>
    <row r="43">
      <c r="A43" s="67" t="inlineStr">
        <is>
          <t>Product 24</t>
        </is>
      </c>
      <c r="B43" s="65" t="n">
        <v>830</v>
      </c>
    </row>
    <row r="44">
      <c r="A44" s="67" t="inlineStr">
        <is>
          <t>Product 39</t>
        </is>
      </c>
      <c r="B44" s="65" t="n">
        <v>814</v>
      </c>
    </row>
    <row r="45">
      <c r="A45" s="63" t="inlineStr">
        <is>
          <t>Cookies</t>
        </is>
      </c>
      <c r="B45" s="66" t="n">
        <v>2669</v>
      </c>
    </row>
    <row r="46">
      <c r="A46" s="67" t="inlineStr">
        <is>
          <t>Product 43</t>
        </is>
      </c>
      <c r="B46" s="65" t="n">
        <v>970</v>
      </c>
    </row>
    <row r="47">
      <c r="A47" s="67" t="inlineStr">
        <is>
          <t>Product 13</t>
        </is>
      </c>
      <c r="B47" s="65" t="n">
        <v>879</v>
      </c>
    </row>
    <row r="48">
      <c r="A48" s="67" t="inlineStr">
        <is>
          <t>Product 28</t>
        </is>
      </c>
      <c r="B48" s="65" t="n">
        <v>820</v>
      </c>
    </row>
    <row r="49">
      <c r="A49" s="63" t="inlineStr">
        <is>
          <t>Dessert</t>
        </is>
      </c>
      <c r="B49" s="66" t="n">
        <v>2629</v>
      </c>
    </row>
    <row r="50">
      <c r="A50" s="67" t="inlineStr">
        <is>
          <t>Product 44</t>
        </is>
      </c>
      <c r="B50" s="65" t="n">
        <v>975</v>
      </c>
    </row>
    <row r="51">
      <c r="A51" s="67" t="inlineStr">
        <is>
          <t>Product 14</t>
        </is>
      </c>
      <c r="B51" s="65" t="n">
        <v>858</v>
      </c>
    </row>
    <row r="52">
      <c r="A52" s="67" t="inlineStr">
        <is>
          <t>Product 29</t>
        </is>
      </c>
      <c r="B52" s="65" t="n">
        <v>796</v>
      </c>
    </row>
    <row r="53">
      <c r="A53" s="63" t="inlineStr">
        <is>
          <t>Burger</t>
        </is>
      </c>
      <c r="B53" s="66" t="n">
        <v>2621</v>
      </c>
    </row>
    <row r="54">
      <c r="A54" s="67" t="inlineStr">
        <is>
          <t>Product 8</t>
        </is>
      </c>
      <c r="B54" s="65" t="n">
        <v>909</v>
      </c>
    </row>
    <row r="55">
      <c r="A55" s="67" t="inlineStr">
        <is>
          <t>Product 38</t>
        </is>
      </c>
      <c r="B55" s="65" t="n">
        <v>877</v>
      </c>
    </row>
    <row r="56">
      <c r="A56" s="67" t="inlineStr">
        <is>
          <t>Product 23</t>
        </is>
      </c>
      <c r="B56" s="65" t="n">
        <v>835</v>
      </c>
    </row>
    <row r="57">
      <c r="A57" s="63" t="inlineStr">
        <is>
          <t>Sides</t>
        </is>
      </c>
      <c r="B57" s="66" t="n">
        <v>2604</v>
      </c>
    </row>
    <row r="58">
      <c r="A58" s="67" t="inlineStr">
        <is>
          <t>Product 25</t>
        </is>
      </c>
      <c r="B58" s="65" t="n">
        <v>923</v>
      </c>
    </row>
    <row r="59">
      <c r="A59" s="67" t="inlineStr">
        <is>
          <t>Product 40</t>
        </is>
      </c>
      <c r="B59" s="65" t="n">
        <v>862</v>
      </c>
    </row>
    <row r="60">
      <c r="A60" s="67" t="inlineStr">
        <is>
          <t>Product 10</t>
        </is>
      </c>
      <c r="B60" s="65" t="n">
        <v>819</v>
      </c>
    </row>
    <row r="61">
      <c r="A61" s="63" t="inlineStr">
        <is>
          <t>Smoothie</t>
        </is>
      </c>
      <c r="B61" s="66" t="n">
        <v>2500</v>
      </c>
    </row>
    <row r="62">
      <c r="A62" s="67" t="inlineStr">
        <is>
          <t>Product 21</t>
        </is>
      </c>
      <c r="B62" s="65" t="n">
        <v>848</v>
      </c>
    </row>
    <row r="63">
      <c r="A63" s="67" t="inlineStr">
        <is>
          <t>Product 36</t>
        </is>
      </c>
      <c r="B63" s="65" t="n">
        <v>827</v>
      </c>
    </row>
    <row r="64">
      <c r="A64" s="67" t="inlineStr">
        <is>
          <t>Product 6</t>
        </is>
      </c>
      <c r="B64" s="65" t="n">
        <v>825</v>
      </c>
    </row>
    <row r="65">
      <c r="A65" s="63" t="inlineStr">
        <is>
          <t>Beverage</t>
        </is>
      </c>
      <c r="B65" s="66" t="n">
        <v>2266</v>
      </c>
    </row>
    <row r="66">
      <c r="A66" s="67" t="inlineStr">
        <is>
          <t>Product 30</t>
        </is>
      </c>
      <c r="B66" s="65" t="n">
        <v>850</v>
      </c>
    </row>
    <row r="67">
      <c r="A67" s="67" t="inlineStr">
        <is>
          <t>Product 15</t>
        </is>
      </c>
      <c r="B67" s="65" t="n">
        <v>758</v>
      </c>
    </row>
    <row r="68">
      <c r="A68" s="67" t="inlineStr">
        <is>
          <t>Product 45</t>
        </is>
      </c>
      <c r="B68" s="65" t="n">
        <v>658</v>
      </c>
    </row>
    <row r="69">
      <c r="A69" s="63" t="inlineStr">
        <is>
          <t>Grand Total</t>
        </is>
      </c>
      <c r="B69" s="66" t="n">
        <v>44572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3B6FB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Wastage by Outlet</t>
        </is>
      </c>
    </row>
    <row r="3">
      <c r="A3" s="63" t="inlineStr">
        <is>
          <t>Row Labels</t>
        </is>
      </c>
      <c r="B3" s="63" t="inlineStr">
        <is>
          <t>Sum of Wastage</t>
        </is>
      </c>
    </row>
    <row r="4">
      <c r="A4" s="64" t="inlineStr">
        <is>
          <t>BrewBean Trichy</t>
        </is>
      </c>
      <c r="B4" s="65" t="n">
        <v>124</v>
      </c>
    </row>
    <row r="5">
      <c r="A5" s="64" t="inlineStr">
        <is>
          <t>BrewBean Peelamedu</t>
        </is>
      </c>
      <c r="B5" s="65" t="n">
        <v>121</v>
      </c>
    </row>
    <row r="6">
      <c r="A6" s="64" t="inlineStr">
        <is>
          <t>BrewBean Salem</t>
        </is>
      </c>
      <c r="B6" s="65" t="n">
        <v>120</v>
      </c>
    </row>
    <row r="7">
      <c r="A7" s="64" t="inlineStr">
        <is>
          <t>BrewBean Madurai</t>
        </is>
      </c>
      <c r="B7" s="65" t="n">
        <v>117</v>
      </c>
    </row>
    <row r="8">
      <c r="A8" s="64" t="inlineStr">
        <is>
          <t>BrewBean Gandhipuram</t>
        </is>
      </c>
      <c r="B8" s="65" t="n">
        <v>115</v>
      </c>
    </row>
    <row r="9">
      <c r="A9" s="64" t="inlineStr">
        <is>
          <t>BrewBean Tiruppur</t>
        </is>
      </c>
      <c r="B9" s="65" t="n">
        <v>113</v>
      </c>
    </row>
    <row r="10">
      <c r="A10" s="64" t="inlineStr">
        <is>
          <t>BrewBean RS Puram</t>
        </is>
      </c>
      <c r="B10" s="65" t="n">
        <v>112</v>
      </c>
    </row>
    <row r="11">
      <c r="A11" s="64" t="inlineStr">
        <is>
          <t>BrewBean Saibaba Colony</t>
        </is>
      </c>
      <c r="B11" s="65" t="n">
        <v>112</v>
      </c>
    </row>
    <row r="12">
      <c r="A12" s="64" t="inlineStr">
        <is>
          <t>BrewBean Saravanampatti</t>
        </is>
      </c>
      <c r="B12" s="65" t="n">
        <v>109</v>
      </c>
    </row>
    <row r="13">
      <c r="A13" s="64" t="inlineStr">
        <is>
          <t>BrewBean Pollachi</t>
        </is>
      </c>
      <c r="B13" s="65" t="n">
        <v>106</v>
      </c>
    </row>
    <row r="14">
      <c r="A14" s="63" t="inlineStr">
        <is>
          <t>Grand Total</t>
        </is>
      </c>
      <c r="B14" s="66" t="n">
        <v>1149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003B6FB6"/>
    <outlinePr summaryBelow="1" summaryRight="1"/>
    <pageSetUpPr/>
  </sheetPr>
  <dimension ref="A1:B69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Wastage by Product (Category ▸ Product)</t>
        </is>
      </c>
    </row>
    <row r="3">
      <c r="A3" s="63" t="inlineStr">
        <is>
          <t>Row Labels</t>
        </is>
      </c>
      <c r="B3" s="63" t="inlineStr">
        <is>
          <t>Sum of Wastage</t>
        </is>
      </c>
    </row>
    <row r="4">
      <c r="A4" s="63" t="inlineStr">
        <is>
          <t>Coffee</t>
        </is>
      </c>
      <c r="B4" s="66" t="n">
        <v>106</v>
      </c>
    </row>
    <row r="5">
      <c r="A5" s="67" t="inlineStr">
        <is>
          <t>Product 31</t>
        </is>
      </c>
      <c r="B5" s="65" t="n">
        <v>59</v>
      </c>
    </row>
    <row r="6">
      <c r="A6" s="67" t="inlineStr">
        <is>
          <t>Product 46</t>
        </is>
      </c>
      <c r="B6" s="65" t="n">
        <v>17</v>
      </c>
    </row>
    <row r="7">
      <c r="A7" s="67" t="inlineStr">
        <is>
          <t>Product 1</t>
        </is>
      </c>
      <c r="B7" s="65" t="n">
        <v>15</v>
      </c>
    </row>
    <row r="8">
      <c r="A8" s="67" t="inlineStr">
        <is>
          <t>Product 16</t>
        </is>
      </c>
      <c r="B8" s="65" t="n">
        <v>15</v>
      </c>
    </row>
    <row r="9">
      <c r="A9" s="63" t="inlineStr">
        <is>
          <t>Frappes</t>
        </is>
      </c>
      <c r="B9" s="66" t="n">
        <v>104</v>
      </c>
    </row>
    <row r="10">
      <c r="A10" s="67" t="inlineStr">
        <is>
          <t>Product 33</t>
        </is>
      </c>
      <c r="B10" s="65" t="n">
        <v>58</v>
      </c>
    </row>
    <row r="11">
      <c r="A11" s="67" t="inlineStr">
        <is>
          <t>Product 3</t>
        </is>
      </c>
      <c r="B11" s="65" t="n">
        <v>17</v>
      </c>
    </row>
    <row r="12">
      <c r="A12" s="67" t="inlineStr">
        <is>
          <t>Product 18</t>
        </is>
      </c>
      <c r="B12" s="65" t="n">
        <v>16</v>
      </c>
    </row>
    <row r="13">
      <c r="A13" s="67" t="inlineStr">
        <is>
          <t>Product 48</t>
        </is>
      </c>
      <c r="B13" s="65" t="n">
        <v>13</v>
      </c>
    </row>
    <row r="14">
      <c r="A14" s="63" t="inlineStr">
        <is>
          <t>Tea</t>
        </is>
      </c>
      <c r="B14" s="66" t="n">
        <v>95</v>
      </c>
    </row>
    <row r="15">
      <c r="A15" s="67" t="inlineStr">
        <is>
          <t>Product 34</t>
        </is>
      </c>
      <c r="B15" s="65" t="n">
        <v>51</v>
      </c>
    </row>
    <row r="16">
      <c r="A16" s="67" t="inlineStr">
        <is>
          <t>Product 4</t>
        </is>
      </c>
      <c r="B16" s="65" t="n">
        <v>17</v>
      </c>
    </row>
    <row r="17">
      <c r="A17" s="67" t="inlineStr">
        <is>
          <t>Product 19</t>
        </is>
      </c>
      <c r="B17" s="65" t="n">
        <v>16</v>
      </c>
    </row>
    <row r="18">
      <c r="A18" s="67" t="inlineStr">
        <is>
          <t>Product 49</t>
        </is>
      </c>
      <c r="B18" s="65" t="n">
        <v>11</v>
      </c>
    </row>
    <row r="19">
      <c r="A19" s="63" t="inlineStr">
        <is>
          <t>Cold Coffee</t>
        </is>
      </c>
      <c r="B19" s="66" t="n">
        <v>91</v>
      </c>
    </row>
    <row r="20">
      <c r="A20" s="67" t="inlineStr">
        <is>
          <t>Product 32</t>
        </is>
      </c>
      <c r="B20" s="65" t="n">
        <v>50</v>
      </c>
    </row>
    <row r="21">
      <c r="A21" s="67" t="inlineStr">
        <is>
          <t>Product 2</t>
        </is>
      </c>
      <c r="B21" s="65" t="n">
        <v>16</v>
      </c>
    </row>
    <row r="22">
      <c r="A22" s="67" t="inlineStr">
        <is>
          <t>Product 17</t>
        </is>
      </c>
      <c r="B22" s="65" t="n">
        <v>13</v>
      </c>
    </row>
    <row r="23">
      <c r="A23" s="67" t="inlineStr">
        <is>
          <t>Product 47</t>
        </is>
      </c>
      <c r="B23" s="65" t="n">
        <v>12</v>
      </c>
    </row>
    <row r="24">
      <c r="A24" s="63" t="inlineStr">
        <is>
          <t>Sides</t>
        </is>
      </c>
      <c r="B24" s="66" t="n">
        <v>88</v>
      </c>
    </row>
    <row r="25">
      <c r="A25" s="67" t="inlineStr">
        <is>
          <t>Product 40</t>
        </is>
      </c>
      <c r="B25" s="65" t="n">
        <v>49</v>
      </c>
    </row>
    <row r="26">
      <c r="A26" s="67" t="inlineStr">
        <is>
          <t>Product 25</t>
        </is>
      </c>
      <c r="B26" s="65" t="n">
        <v>21</v>
      </c>
    </row>
    <row r="27">
      <c r="A27" s="67" t="inlineStr">
        <is>
          <t>Product 10</t>
        </is>
      </c>
      <c r="B27" s="65" t="n">
        <v>18</v>
      </c>
    </row>
    <row r="28">
      <c r="A28" s="63" t="inlineStr">
        <is>
          <t>Fresh Juice</t>
        </is>
      </c>
      <c r="B28" s="66" t="n">
        <v>87</v>
      </c>
    </row>
    <row r="29">
      <c r="A29" s="67" t="inlineStr">
        <is>
          <t>Product 35</t>
        </is>
      </c>
      <c r="B29" s="65" t="n">
        <v>47</v>
      </c>
    </row>
    <row r="30">
      <c r="A30" s="67" t="inlineStr">
        <is>
          <t>Product 5</t>
        </is>
      </c>
      <c r="B30" s="65" t="n">
        <v>15</v>
      </c>
    </row>
    <row r="31">
      <c r="A31" s="67" t="inlineStr">
        <is>
          <t>Product 50</t>
        </is>
      </c>
      <c r="B31" s="65" t="n">
        <v>15</v>
      </c>
    </row>
    <row r="32">
      <c r="A32" s="67" t="inlineStr">
        <is>
          <t>Product 20</t>
        </is>
      </c>
      <c r="B32" s="65" t="n">
        <v>10</v>
      </c>
    </row>
    <row r="33">
      <c r="A33" s="63" t="inlineStr">
        <is>
          <t>Wrap</t>
        </is>
      </c>
      <c r="B33" s="66" t="n">
        <v>85</v>
      </c>
    </row>
    <row r="34">
      <c r="A34" s="67" t="inlineStr">
        <is>
          <t>Product 39</t>
        </is>
      </c>
      <c r="B34" s="65" t="n">
        <v>57</v>
      </c>
    </row>
    <row r="35">
      <c r="A35" s="67" t="inlineStr">
        <is>
          <t>Product 24</t>
        </is>
      </c>
      <c r="B35" s="65" t="n">
        <v>14</v>
      </c>
    </row>
    <row r="36">
      <c r="A36" s="67" t="inlineStr">
        <is>
          <t>Product 9</t>
        </is>
      </c>
      <c r="B36" s="65" t="n">
        <v>14</v>
      </c>
    </row>
    <row r="37">
      <c r="A37" s="63" t="inlineStr">
        <is>
          <t>Beverage</t>
        </is>
      </c>
      <c r="B37" s="66" t="n">
        <v>83</v>
      </c>
    </row>
    <row r="38">
      <c r="A38" s="67" t="inlineStr">
        <is>
          <t>Product 30</t>
        </is>
      </c>
      <c r="B38" s="65" t="n">
        <v>62</v>
      </c>
    </row>
    <row r="39">
      <c r="A39" s="67" t="inlineStr">
        <is>
          <t>Product 15</t>
        </is>
      </c>
      <c r="B39" s="65" t="n">
        <v>13</v>
      </c>
    </row>
    <row r="40">
      <c r="A40" s="67" t="inlineStr">
        <is>
          <t>Product 45</t>
        </is>
      </c>
      <c r="B40" s="65" t="n">
        <v>8</v>
      </c>
    </row>
    <row r="41">
      <c r="A41" s="63" t="inlineStr">
        <is>
          <t>Sandwich</t>
        </is>
      </c>
      <c r="B41" s="66" t="n">
        <v>77</v>
      </c>
    </row>
    <row r="42">
      <c r="A42" s="67" t="inlineStr">
        <is>
          <t>Product 37</t>
        </is>
      </c>
      <c r="B42" s="65" t="n">
        <v>46</v>
      </c>
    </row>
    <row r="43">
      <c r="A43" s="67" t="inlineStr">
        <is>
          <t>Product 22</t>
        </is>
      </c>
      <c r="B43" s="65" t="n">
        <v>18</v>
      </c>
    </row>
    <row r="44">
      <c r="A44" s="67" t="inlineStr">
        <is>
          <t>Product 7</t>
        </is>
      </c>
      <c r="B44" s="65" t="n">
        <v>13</v>
      </c>
    </row>
    <row r="45">
      <c r="A45" s="63" t="inlineStr">
        <is>
          <t>Smoothie</t>
        </is>
      </c>
      <c r="B45" s="66" t="n">
        <v>71</v>
      </c>
    </row>
    <row r="46">
      <c r="A46" s="67" t="inlineStr">
        <is>
          <t>Product 36</t>
        </is>
      </c>
      <c r="B46" s="65" t="n">
        <v>50</v>
      </c>
    </row>
    <row r="47">
      <c r="A47" s="67" t="inlineStr">
        <is>
          <t>Product 21</t>
        </is>
      </c>
      <c r="B47" s="65" t="n">
        <v>16</v>
      </c>
    </row>
    <row r="48">
      <c r="A48" s="67" t="inlineStr">
        <is>
          <t>Product 6</t>
        </is>
      </c>
      <c r="B48" s="65" t="n">
        <v>5</v>
      </c>
    </row>
    <row r="49">
      <c r="A49" s="63" t="inlineStr">
        <is>
          <t>Burger</t>
        </is>
      </c>
      <c r="B49" s="66" t="n">
        <v>64</v>
      </c>
    </row>
    <row r="50">
      <c r="A50" s="67" t="inlineStr">
        <is>
          <t>Product 38</t>
        </is>
      </c>
      <c r="B50" s="65" t="n">
        <v>36</v>
      </c>
    </row>
    <row r="51">
      <c r="A51" s="67" t="inlineStr">
        <is>
          <t>Product 23</t>
        </is>
      </c>
      <c r="B51" s="65" t="n">
        <v>17</v>
      </c>
    </row>
    <row r="52">
      <c r="A52" s="67" t="inlineStr">
        <is>
          <t>Product 8</t>
        </is>
      </c>
      <c r="B52" s="65" t="n">
        <v>11</v>
      </c>
    </row>
    <row r="53">
      <c r="A53" s="63" t="inlineStr">
        <is>
          <t>Dessert</t>
        </is>
      </c>
      <c r="B53" s="66" t="n">
        <v>56</v>
      </c>
    </row>
    <row r="54">
      <c r="A54" s="67" t="inlineStr">
        <is>
          <t>Product 44</t>
        </is>
      </c>
      <c r="B54" s="65" t="n">
        <v>21</v>
      </c>
    </row>
    <row r="55">
      <c r="A55" s="67" t="inlineStr">
        <is>
          <t>Product 29</t>
        </is>
      </c>
      <c r="B55" s="65" t="n">
        <v>20</v>
      </c>
    </row>
    <row r="56">
      <c r="A56" s="67" t="inlineStr">
        <is>
          <t>Product 14</t>
        </is>
      </c>
      <c r="B56" s="65" t="n">
        <v>15</v>
      </c>
    </row>
    <row r="57">
      <c r="A57" s="63" t="inlineStr">
        <is>
          <t>Cake</t>
        </is>
      </c>
      <c r="B57" s="66" t="n">
        <v>52</v>
      </c>
    </row>
    <row r="58">
      <c r="A58" s="67" t="inlineStr">
        <is>
          <t>Product 12</t>
        </is>
      </c>
      <c r="B58" s="65" t="n">
        <v>22</v>
      </c>
    </row>
    <row r="59">
      <c r="A59" s="67" t="inlineStr">
        <is>
          <t>Product 27</t>
        </is>
      </c>
      <c r="B59" s="65" t="n">
        <v>17</v>
      </c>
    </row>
    <row r="60">
      <c r="A60" s="67" t="inlineStr">
        <is>
          <t>Product 42</t>
        </is>
      </c>
      <c r="B60" s="65" t="n">
        <v>13</v>
      </c>
    </row>
    <row r="61">
      <c r="A61" s="63" t="inlineStr">
        <is>
          <t>Cookies</t>
        </is>
      </c>
      <c r="B61" s="66" t="n">
        <v>47</v>
      </c>
    </row>
    <row r="62">
      <c r="A62" s="67" t="inlineStr">
        <is>
          <t>Product 43</t>
        </is>
      </c>
      <c r="B62" s="65" t="n">
        <v>20</v>
      </c>
    </row>
    <row r="63">
      <c r="A63" s="67" t="inlineStr">
        <is>
          <t>Product 13</t>
        </is>
      </c>
      <c r="B63" s="65" t="n">
        <v>18</v>
      </c>
    </row>
    <row r="64">
      <c r="A64" s="67" t="inlineStr">
        <is>
          <t>Product 28</t>
        </is>
      </c>
      <c r="B64" s="65" t="n">
        <v>9</v>
      </c>
    </row>
    <row r="65">
      <c r="A65" s="63" t="inlineStr">
        <is>
          <t>Pastry</t>
        </is>
      </c>
      <c r="B65" s="66" t="n">
        <v>43</v>
      </c>
    </row>
    <row r="66">
      <c r="A66" s="67" t="inlineStr">
        <is>
          <t>Product 26</t>
        </is>
      </c>
      <c r="B66" s="65" t="n">
        <v>16</v>
      </c>
    </row>
    <row r="67">
      <c r="A67" s="67" t="inlineStr">
        <is>
          <t>Product 41</t>
        </is>
      </c>
      <c r="B67" s="65" t="n">
        <v>16</v>
      </c>
    </row>
    <row r="68">
      <c r="A68" s="67" t="inlineStr">
        <is>
          <t>Product 11</t>
        </is>
      </c>
      <c r="B68" s="65" t="n">
        <v>11</v>
      </c>
    </row>
    <row r="69">
      <c r="A69" s="63" t="inlineStr">
        <is>
          <t>Grand Total</t>
        </is>
      </c>
      <c r="B69" s="66" t="n">
        <v>1149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003B6FB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Closing Stock by Outlet (negatives floored at 0)</t>
        </is>
      </c>
    </row>
    <row r="3">
      <c r="A3" s="63" t="inlineStr">
        <is>
          <t>Row Labels</t>
        </is>
      </c>
      <c r="B3" s="63" t="inlineStr">
        <is>
          <t>Sum of Closing_Stock_Adj</t>
        </is>
      </c>
    </row>
    <row r="4">
      <c r="A4" s="64" t="inlineStr">
        <is>
          <t>BrewBean Pollachi</t>
        </is>
      </c>
      <c r="B4" s="65" t="n">
        <v>3841</v>
      </c>
    </row>
    <row r="5">
      <c r="A5" s="64" t="inlineStr">
        <is>
          <t>BrewBean Tiruppur</t>
        </is>
      </c>
      <c r="B5" s="65" t="n">
        <v>3827</v>
      </c>
    </row>
    <row r="6">
      <c r="A6" s="64" t="inlineStr">
        <is>
          <t>BrewBean Peelamedu</t>
        </is>
      </c>
      <c r="B6" s="65" t="n">
        <v>3676</v>
      </c>
    </row>
    <row r="7">
      <c r="A7" s="64" t="inlineStr">
        <is>
          <t>BrewBean Salem</t>
        </is>
      </c>
      <c r="B7" s="65" t="n">
        <v>3554</v>
      </c>
    </row>
    <row r="8">
      <c r="A8" s="64" t="inlineStr">
        <is>
          <t>BrewBean Gandhipuram</t>
        </is>
      </c>
      <c r="B8" s="65" t="n">
        <v>3335</v>
      </c>
    </row>
    <row r="9">
      <c r="A9" s="64" t="inlineStr">
        <is>
          <t>BrewBean Trichy</t>
        </is>
      </c>
      <c r="B9" s="65" t="n">
        <v>3313</v>
      </c>
    </row>
    <row r="10">
      <c r="A10" s="64" t="inlineStr">
        <is>
          <t>BrewBean Saibaba Colony</t>
        </is>
      </c>
      <c r="B10" s="65" t="n">
        <v>3221</v>
      </c>
    </row>
    <row r="11">
      <c r="A11" s="64" t="inlineStr">
        <is>
          <t>BrewBean Madurai</t>
        </is>
      </c>
      <c r="B11" s="65" t="n">
        <v>3201</v>
      </c>
    </row>
    <row r="12">
      <c r="A12" s="64" t="inlineStr">
        <is>
          <t>BrewBean Saravanampatti</t>
        </is>
      </c>
      <c r="B12" s="65" t="n">
        <v>2984</v>
      </c>
    </row>
    <row r="13">
      <c r="A13" s="64" t="inlineStr">
        <is>
          <t>BrewBean RS Puram</t>
        </is>
      </c>
      <c r="B13" s="65" t="n">
        <v>2131</v>
      </c>
    </row>
    <row r="14">
      <c r="A14" s="63" t="inlineStr">
        <is>
          <t>Grand Total</t>
        </is>
      </c>
      <c r="B14" s="66" t="n">
        <v>33083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tabColor rgb="003B6FB6"/>
    <outlinePr summaryBelow="1" summaryRight="1"/>
    <pageSetUpPr/>
  </sheetPr>
  <dimension ref="A1:D5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</cols>
  <sheetData>
    <row r="1">
      <c r="A1" s="62" t="inlineStr">
        <is>
          <t>Reorder Status by Product</t>
        </is>
      </c>
    </row>
    <row r="3">
      <c r="A3" s="64" t="inlineStr">
        <is>
          <t>Count of Inventory_ID</t>
        </is>
      </c>
      <c r="B3" s="64" t="inlineStr">
        <is>
          <t>Column Labels</t>
        </is>
      </c>
    </row>
    <row r="4">
      <c r="A4" s="63" t="inlineStr">
        <is>
          <t>Row Labels</t>
        </is>
      </c>
      <c r="B4" s="63" t="inlineStr">
        <is>
          <t>Reorder Required</t>
        </is>
      </c>
      <c r="C4" s="63" t="inlineStr">
        <is>
          <t>Stock Sufficient</t>
        </is>
      </c>
      <c r="D4" s="63" t="inlineStr">
        <is>
          <t>Grand Total</t>
        </is>
      </c>
    </row>
    <row r="5">
      <c r="A5" s="64" t="inlineStr">
        <is>
          <t>Product 42</t>
        </is>
      </c>
      <c r="B5" s="65" t="n">
        <v>6</v>
      </c>
      <c r="C5" s="65" t="n">
        <v>4</v>
      </c>
      <c r="D5" s="66" t="n">
        <v>10</v>
      </c>
    </row>
    <row r="6">
      <c r="A6" s="64" t="inlineStr">
        <is>
          <t>Product 44</t>
        </is>
      </c>
      <c r="B6" s="65" t="n">
        <v>6</v>
      </c>
      <c r="C6" s="65" t="n">
        <v>4</v>
      </c>
      <c r="D6" s="66" t="n">
        <v>10</v>
      </c>
    </row>
    <row r="7">
      <c r="A7" s="64" t="inlineStr">
        <is>
          <t>Product 1</t>
        </is>
      </c>
      <c r="B7" s="65" t="n">
        <v>5</v>
      </c>
      <c r="C7" s="65" t="n">
        <v>5</v>
      </c>
      <c r="D7" s="66" t="n">
        <v>10</v>
      </c>
    </row>
    <row r="8">
      <c r="A8" s="64" t="inlineStr">
        <is>
          <t>Product 20</t>
        </is>
      </c>
      <c r="B8" s="65" t="n">
        <v>5</v>
      </c>
      <c r="C8" s="65" t="n">
        <v>5</v>
      </c>
      <c r="D8" s="66" t="n">
        <v>10</v>
      </c>
    </row>
    <row r="9">
      <c r="A9" s="64" t="inlineStr">
        <is>
          <t>Product 16</t>
        </is>
      </c>
      <c r="B9" s="65" t="n">
        <v>4</v>
      </c>
      <c r="C9" s="65" t="n">
        <v>6</v>
      </c>
      <c r="D9" s="66" t="n">
        <v>10</v>
      </c>
    </row>
    <row r="10">
      <c r="A10" s="64" t="inlineStr">
        <is>
          <t>Product 23</t>
        </is>
      </c>
      <c r="B10" s="65" t="n">
        <v>4</v>
      </c>
      <c r="C10" s="65" t="n">
        <v>6</v>
      </c>
      <c r="D10" s="66" t="n">
        <v>10</v>
      </c>
    </row>
    <row r="11">
      <c r="A11" s="64" t="inlineStr">
        <is>
          <t>Product 26</t>
        </is>
      </c>
      <c r="B11" s="65" t="n">
        <v>4</v>
      </c>
      <c r="C11" s="65" t="n">
        <v>6</v>
      </c>
      <c r="D11" s="66" t="n">
        <v>10</v>
      </c>
    </row>
    <row r="12">
      <c r="A12" s="64" t="inlineStr">
        <is>
          <t>Product 40</t>
        </is>
      </c>
      <c r="B12" s="65" t="n">
        <v>4</v>
      </c>
      <c r="C12" s="65" t="n">
        <v>6</v>
      </c>
      <c r="D12" s="66" t="n">
        <v>10</v>
      </c>
    </row>
    <row r="13">
      <c r="A13" s="64" t="inlineStr">
        <is>
          <t>Product 43</t>
        </is>
      </c>
      <c r="B13" s="65" t="n">
        <v>4</v>
      </c>
      <c r="C13" s="65" t="n">
        <v>6</v>
      </c>
      <c r="D13" s="66" t="n">
        <v>10</v>
      </c>
    </row>
    <row r="14">
      <c r="A14" s="64" t="inlineStr">
        <is>
          <t>Product 49</t>
        </is>
      </c>
      <c r="B14" s="65" t="n">
        <v>4</v>
      </c>
      <c r="C14" s="65" t="n">
        <v>6</v>
      </c>
      <c r="D14" s="66" t="n">
        <v>10</v>
      </c>
    </row>
    <row r="15">
      <c r="A15" s="64" t="inlineStr">
        <is>
          <t>Product 9</t>
        </is>
      </c>
      <c r="B15" s="65" t="n">
        <v>4</v>
      </c>
      <c r="C15" s="65" t="n">
        <v>6</v>
      </c>
      <c r="D15" s="66" t="n">
        <v>10</v>
      </c>
    </row>
    <row r="16">
      <c r="A16" s="64" t="inlineStr">
        <is>
          <t>Product 10</t>
        </is>
      </c>
      <c r="B16" s="65" t="n">
        <v>3</v>
      </c>
      <c r="C16" s="65" t="n">
        <v>7</v>
      </c>
      <c r="D16" s="66" t="n">
        <v>10</v>
      </c>
    </row>
    <row r="17">
      <c r="A17" s="64" t="inlineStr">
        <is>
          <t>Product 11</t>
        </is>
      </c>
      <c r="B17" s="65" t="n">
        <v>3</v>
      </c>
      <c r="C17" s="65" t="n">
        <v>7</v>
      </c>
      <c r="D17" s="66" t="n">
        <v>10</v>
      </c>
    </row>
    <row r="18">
      <c r="A18" s="64" t="inlineStr">
        <is>
          <t>Product 14</t>
        </is>
      </c>
      <c r="B18" s="65" t="n">
        <v>3</v>
      </c>
      <c r="C18" s="65" t="n">
        <v>7</v>
      </c>
      <c r="D18" s="66" t="n">
        <v>10</v>
      </c>
    </row>
    <row r="19">
      <c r="A19" s="64" t="inlineStr">
        <is>
          <t>Product 17</t>
        </is>
      </c>
      <c r="B19" s="65" t="n">
        <v>3</v>
      </c>
      <c r="C19" s="65" t="n">
        <v>7</v>
      </c>
      <c r="D19" s="66" t="n">
        <v>10</v>
      </c>
    </row>
    <row r="20">
      <c r="A20" s="64" t="inlineStr">
        <is>
          <t>Product 19</t>
        </is>
      </c>
      <c r="B20" s="65" t="n">
        <v>3</v>
      </c>
      <c r="C20" s="65" t="n">
        <v>7</v>
      </c>
      <c r="D20" s="66" t="n">
        <v>10</v>
      </c>
    </row>
    <row r="21">
      <c r="A21" s="64" t="inlineStr">
        <is>
          <t>Product 2</t>
        </is>
      </c>
      <c r="B21" s="65" t="n">
        <v>3</v>
      </c>
      <c r="C21" s="65" t="n">
        <v>7</v>
      </c>
      <c r="D21" s="66" t="n">
        <v>10</v>
      </c>
    </row>
    <row r="22">
      <c r="A22" s="64" t="inlineStr">
        <is>
          <t>Product 25</t>
        </is>
      </c>
      <c r="B22" s="65" t="n">
        <v>3</v>
      </c>
      <c r="C22" s="65" t="n">
        <v>7</v>
      </c>
      <c r="D22" s="66" t="n">
        <v>10</v>
      </c>
    </row>
    <row r="23">
      <c r="A23" s="64" t="inlineStr">
        <is>
          <t>Product 27</t>
        </is>
      </c>
      <c r="B23" s="65" t="n">
        <v>3</v>
      </c>
      <c r="C23" s="65" t="n">
        <v>7</v>
      </c>
      <c r="D23" s="66" t="n">
        <v>10</v>
      </c>
    </row>
    <row r="24">
      <c r="A24" s="64" t="inlineStr">
        <is>
          <t>Product 29</t>
        </is>
      </c>
      <c r="B24" s="65" t="n">
        <v>3</v>
      </c>
      <c r="C24" s="65" t="n">
        <v>7</v>
      </c>
      <c r="D24" s="66" t="n">
        <v>10</v>
      </c>
    </row>
    <row r="25">
      <c r="A25" s="64" t="inlineStr">
        <is>
          <t>Product 3</t>
        </is>
      </c>
      <c r="B25" s="65" t="n">
        <v>3</v>
      </c>
      <c r="C25" s="65" t="n">
        <v>7</v>
      </c>
      <c r="D25" s="66" t="n">
        <v>10</v>
      </c>
    </row>
    <row r="26">
      <c r="A26" s="64" t="inlineStr">
        <is>
          <t>Product 32</t>
        </is>
      </c>
      <c r="B26" s="65" t="n">
        <v>3</v>
      </c>
      <c r="C26" s="65" t="n">
        <v>7</v>
      </c>
      <c r="D26" s="66" t="n">
        <v>10</v>
      </c>
    </row>
    <row r="27">
      <c r="A27" s="64" t="inlineStr">
        <is>
          <t>Product 34</t>
        </is>
      </c>
      <c r="B27" s="65" t="n">
        <v>3</v>
      </c>
      <c r="C27" s="65" t="n">
        <v>7</v>
      </c>
      <c r="D27" s="66" t="n">
        <v>10</v>
      </c>
    </row>
    <row r="28">
      <c r="A28" s="64" t="inlineStr">
        <is>
          <t>Product 37</t>
        </is>
      </c>
      <c r="B28" s="65" t="n">
        <v>3</v>
      </c>
      <c r="C28" s="65" t="n">
        <v>7</v>
      </c>
      <c r="D28" s="66" t="n">
        <v>10</v>
      </c>
    </row>
    <row r="29">
      <c r="A29" s="64" t="inlineStr">
        <is>
          <t>Product 38</t>
        </is>
      </c>
      <c r="B29" s="65" t="n">
        <v>3</v>
      </c>
      <c r="C29" s="65" t="n">
        <v>7</v>
      </c>
      <c r="D29" s="66" t="n">
        <v>10</v>
      </c>
    </row>
    <row r="30">
      <c r="A30" s="64" t="inlineStr">
        <is>
          <t>Product 41</t>
        </is>
      </c>
      <c r="B30" s="65" t="n">
        <v>3</v>
      </c>
      <c r="C30" s="65" t="n">
        <v>7</v>
      </c>
      <c r="D30" s="66" t="n">
        <v>10</v>
      </c>
    </row>
    <row r="31">
      <c r="A31" s="64" t="inlineStr">
        <is>
          <t>Product 46</t>
        </is>
      </c>
      <c r="B31" s="65" t="n">
        <v>3</v>
      </c>
      <c r="C31" s="65" t="n">
        <v>7</v>
      </c>
      <c r="D31" s="66" t="n">
        <v>10</v>
      </c>
    </row>
    <row r="32">
      <c r="A32" s="64" t="inlineStr">
        <is>
          <t>Product 8</t>
        </is>
      </c>
      <c r="B32" s="65" t="n">
        <v>3</v>
      </c>
      <c r="C32" s="65" t="n">
        <v>7</v>
      </c>
      <c r="D32" s="66" t="n">
        <v>10</v>
      </c>
    </row>
    <row r="33">
      <c r="A33" s="64" t="inlineStr">
        <is>
          <t>Product 15</t>
        </is>
      </c>
      <c r="B33" s="65" t="n">
        <v>2</v>
      </c>
      <c r="C33" s="65" t="n">
        <v>8</v>
      </c>
      <c r="D33" s="66" t="n">
        <v>10</v>
      </c>
    </row>
    <row r="34">
      <c r="A34" s="64" t="inlineStr">
        <is>
          <t>Product 18</t>
        </is>
      </c>
      <c r="B34" s="65" t="n">
        <v>2</v>
      </c>
      <c r="C34" s="65" t="n">
        <v>8</v>
      </c>
      <c r="D34" s="66" t="n">
        <v>10</v>
      </c>
    </row>
    <row r="35">
      <c r="A35" s="64" t="inlineStr">
        <is>
          <t>Product 21</t>
        </is>
      </c>
      <c r="B35" s="65" t="n">
        <v>2</v>
      </c>
      <c r="C35" s="65" t="n">
        <v>8</v>
      </c>
      <c r="D35" s="66" t="n">
        <v>10</v>
      </c>
    </row>
    <row r="36">
      <c r="A36" s="64" t="inlineStr">
        <is>
          <t>Product 33</t>
        </is>
      </c>
      <c r="B36" s="65" t="n">
        <v>2</v>
      </c>
      <c r="C36" s="65" t="n">
        <v>8</v>
      </c>
      <c r="D36" s="66" t="n">
        <v>10</v>
      </c>
    </row>
    <row r="37">
      <c r="A37" s="64" t="inlineStr">
        <is>
          <t>Product 36</t>
        </is>
      </c>
      <c r="B37" s="65" t="n">
        <v>2</v>
      </c>
      <c r="C37" s="65" t="n">
        <v>8</v>
      </c>
      <c r="D37" s="66" t="n">
        <v>10</v>
      </c>
    </row>
    <row r="38">
      <c r="A38" s="64" t="inlineStr">
        <is>
          <t>Product 4</t>
        </is>
      </c>
      <c r="B38" s="65" t="n">
        <v>2</v>
      </c>
      <c r="C38" s="65" t="n">
        <v>8</v>
      </c>
      <c r="D38" s="66" t="n">
        <v>10</v>
      </c>
    </row>
    <row r="39">
      <c r="A39" s="64" t="inlineStr">
        <is>
          <t>Product 45</t>
        </is>
      </c>
      <c r="B39" s="65" t="n">
        <v>2</v>
      </c>
      <c r="C39" s="65" t="n">
        <v>8</v>
      </c>
      <c r="D39" s="66" t="n">
        <v>10</v>
      </c>
    </row>
    <row r="40">
      <c r="A40" s="64" t="inlineStr">
        <is>
          <t>Product 48</t>
        </is>
      </c>
      <c r="B40" s="65" t="n">
        <v>2</v>
      </c>
      <c r="C40" s="65" t="n">
        <v>8</v>
      </c>
      <c r="D40" s="66" t="n">
        <v>10</v>
      </c>
    </row>
    <row r="41">
      <c r="A41" s="64" t="inlineStr">
        <is>
          <t>Product 5</t>
        </is>
      </c>
      <c r="B41" s="65" t="n">
        <v>2</v>
      </c>
      <c r="C41" s="65" t="n">
        <v>8</v>
      </c>
      <c r="D41" s="66" t="n">
        <v>10</v>
      </c>
    </row>
    <row r="42">
      <c r="A42" s="64" t="inlineStr">
        <is>
          <t>Product 50</t>
        </is>
      </c>
      <c r="B42" s="65" t="n">
        <v>2</v>
      </c>
      <c r="C42" s="65" t="n">
        <v>8</v>
      </c>
      <c r="D42" s="66" t="n">
        <v>10</v>
      </c>
    </row>
    <row r="43">
      <c r="A43" s="64" t="inlineStr">
        <is>
          <t>Product 12</t>
        </is>
      </c>
      <c r="B43" s="65" t="n">
        <v>1</v>
      </c>
      <c r="C43" s="65" t="n">
        <v>9</v>
      </c>
      <c r="D43" s="66" t="n">
        <v>10</v>
      </c>
    </row>
    <row r="44">
      <c r="A44" s="64" t="inlineStr">
        <is>
          <t>Product 13</t>
        </is>
      </c>
      <c r="B44" s="65" t="n">
        <v>1</v>
      </c>
      <c r="C44" s="65" t="n">
        <v>9</v>
      </c>
      <c r="D44" s="66" t="n">
        <v>10</v>
      </c>
    </row>
    <row r="45">
      <c r="A45" s="64" t="inlineStr">
        <is>
          <t>Product 22</t>
        </is>
      </c>
      <c r="B45" s="65" t="n">
        <v>1</v>
      </c>
      <c r="C45" s="65" t="n">
        <v>9</v>
      </c>
      <c r="D45" s="66" t="n">
        <v>10</v>
      </c>
    </row>
    <row r="46">
      <c r="A46" s="64" t="inlineStr">
        <is>
          <t>Product 24</t>
        </is>
      </c>
      <c r="B46" s="65" t="n">
        <v>1</v>
      </c>
      <c r="C46" s="65" t="n">
        <v>9</v>
      </c>
      <c r="D46" s="66" t="n">
        <v>10</v>
      </c>
    </row>
    <row r="47">
      <c r="A47" s="64" t="inlineStr">
        <is>
          <t>Product 28</t>
        </is>
      </c>
      <c r="B47" s="65" t="n">
        <v>1</v>
      </c>
      <c r="C47" s="65" t="n">
        <v>9</v>
      </c>
      <c r="D47" s="66" t="n">
        <v>10</v>
      </c>
    </row>
    <row r="48">
      <c r="A48" s="64" t="inlineStr">
        <is>
          <t>Product 30</t>
        </is>
      </c>
      <c r="B48" s="65" t="n">
        <v>1</v>
      </c>
      <c r="C48" s="65" t="n">
        <v>9</v>
      </c>
      <c r="D48" s="66" t="n">
        <v>10</v>
      </c>
    </row>
    <row r="49">
      <c r="A49" s="64" t="inlineStr">
        <is>
          <t>Product 31</t>
        </is>
      </c>
      <c r="B49" s="65" t="n">
        <v>1</v>
      </c>
      <c r="C49" s="65" t="n">
        <v>9</v>
      </c>
      <c r="D49" s="66" t="n">
        <v>10</v>
      </c>
    </row>
    <row r="50">
      <c r="A50" s="64" t="inlineStr">
        <is>
          <t>Product 35</t>
        </is>
      </c>
      <c r="B50" s="65" t="n">
        <v>1</v>
      </c>
      <c r="C50" s="65" t="n">
        <v>9</v>
      </c>
      <c r="D50" s="66" t="n">
        <v>10</v>
      </c>
    </row>
    <row r="51">
      <c r="A51" s="64" t="inlineStr">
        <is>
          <t>Product 39</t>
        </is>
      </c>
      <c r="B51" s="65" t="n">
        <v>1</v>
      </c>
      <c r="C51" s="65" t="n">
        <v>9</v>
      </c>
      <c r="D51" s="66" t="n">
        <v>10</v>
      </c>
    </row>
    <row r="52">
      <c r="A52" s="64" t="inlineStr">
        <is>
          <t>Product 47</t>
        </is>
      </c>
      <c r="B52" s="65" t="n">
        <v>1</v>
      </c>
      <c r="C52" s="65" t="n">
        <v>9</v>
      </c>
      <c r="D52" s="66" t="n">
        <v>10</v>
      </c>
    </row>
    <row r="53">
      <c r="A53" s="64" t="inlineStr">
        <is>
          <t>Product 6</t>
        </is>
      </c>
      <c r="B53" s="65" t="n">
        <v>1</v>
      </c>
      <c r="C53" s="65" t="n">
        <v>9</v>
      </c>
      <c r="D53" s="66" t="n">
        <v>10</v>
      </c>
    </row>
    <row r="54">
      <c r="A54" s="64" t="inlineStr">
        <is>
          <t>Product 7</t>
        </is>
      </c>
      <c r="C54" s="65" t="n">
        <v>10</v>
      </c>
      <c r="D54" s="66" t="n">
        <v>10</v>
      </c>
    </row>
    <row r="55">
      <c r="A55" s="63" t="inlineStr">
        <is>
          <t>Grand Total</t>
        </is>
      </c>
      <c r="B55" s="66" t="n">
        <v>132</v>
      </c>
      <c r="C55" s="66" t="n">
        <v>368</v>
      </c>
      <c r="D55" s="66" t="n">
        <v>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003B6FB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Stock Utilization by Outlet (average)</t>
        </is>
      </c>
    </row>
    <row r="3">
      <c r="A3" s="63" t="inlineStr">
        <is>
          <t>Row Labels</t>
        </is>
      </c>
      <c r="B3" s="63" t="inlineStr">
        <is>
          <t>Average of Stock_Utilization_%</t>
        </is>
      </c>
    </row>
    <row r="4">
      <c r="A4" s="64" t="inlineStr">
        <is>
          <t>BrewBean RS Puram</t>
        </is>
      </c>
      <c r="B4" s="68" t="n">
        <v>0.8862248657200361</v>
      </c>
    </row>
    <row r="5">
      <c r="A5" s="64" t="inlineStr">
        <is>
          <t>BrewBean Saravanampatti</t>
        </is>
      </c>
      <c r="B5" s="68" t="n">
        <v>0.6692274906991129</v>
      </c>
    </row>
    <row r="6">
      <c r="A6" s="64" t="inlineStr">
        <is>
          <t>BrewBean Saibaba Colony</t>
        </is>
      </c>
      <c r="B6" s="68" t="n">
        <v>0.6539951443118899</v>
      </c>
    </row>
    <row r="7">
      <c r="A7" s="64" t="inlineStr">
        <is>
          <t>BrewBean Trichy</t>
        </is>
      </c>
      <c r="B7" s="68" t="n">
        <v>0.6368608674559335</v>
      </c>
    </row>
    <row r="8">
      <c r="A8" s="64" t="inlineStr">
        <is>
          <t>BrewBean Madurai</t>
        </is>
      </c>
      <c r="B8" s="68" t="n">
        <v>0.6101477514940034</v>
      </c>
    </row>
    <row r="9">
      <c r="A9" s="64" t="inlineStr">
        <is>
          <t>BrewBean Gandhipuram</t>
        </is>
      </c>
      <c r="B9" s="68" t="n">
        <v>0.603216786747362</v>
      </c>
    </row>
    <row r="10">
      <c r="A10" s="64" t="inlineStr">
        <is>
          <t>BrewBean Peelamedu</t>
        </is>
      </c>
      <c r="B10" s="68" t="n">
        <v>0.5797124875370887</v>
      </c>
    </row>
    <row r="11">
      <c r="A11" s="64" t="inlineStr">
        <is>
          <t>BrewBean Tiruppur</t>
        </is>
      </c>
      <c r="B11" s="68" t="n">
        <v>0.5727458240104449</v>
      </c>
    </row>
    <row r="12">
      <c r="A12" s="64" t="inlineStr">
        <is>
          <t>BrewBean Salem</t>
        </is>
      </c>
      <c r="B12" s="68" t="n">
        <v>0.5725703684164185</v>
      </c>
    </row>
    <row r="13">
      <c r="A13" s="64" t="inlineStr">
        <is>
          <t>BrewBean Pollachi</t>
        </is>
      </c>
      <c r="B13" s="68" t="n">
        <v>0.5357944695512535</v>
      </c>
    </row>
    <row r="14">
      <c r="A14" s="63" t="inlineStr">
        <is>
          <t>Grand Total</t>
        </is>
      </c>
      <c r="B14" s="69" t="n">
        <v>0.6320496055943544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tabColor rgb="003B6FB6"/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</cols>
  <sheetData>
    <row r="1">
      <c r="A1" s="62" t="inlineStr">
        <is>
          <t>Supplier Lead Time by Outlet (avg days) – no supplier field in data</t>
        </is>
      </c>
    </row>
    <row r="3">
      <c r="A3" s="63" t="inlineStr">
        <is>
          <t>Row Labels</t>
        </is>
      </c>
      <c r="B3" s="63" t="inlineStr">
        <is>
          <t>Average of Supplier_Lead_Time_Days</t>
        </is>
      </c>
    </row>
    <row r="4">
      <c r="A4" s="64" t="inlineStr">
        <is>
          <t>BrewBean RS Puram</t>
        </is>
      </c>
      <c r="B4" s="70" t="n">
        <v>3.32</v>
      </c>
    </row>
    <row r="5">
      <c r="A5" s="64" t="inlineStr">
        <is>
          <t>BrewBean Saravanampatti</t>
        </is>
      </c>
      <c r="B5" s="70" t="n">
        <v>3.16</v>
      </c>
    </row>
    <row r="6">
      <c r="A6" s="64" t="inlineStr">
        <is>
          <t>BrewBean Salem</t>
        </is>
      </c>
      <c r="B6" s="70" t="n">
        <v>3.12</v>
      </c>
    </row>
    <row r="7">
      <c r="A7" s="64" t="inlineStr">
        <is>
          <t>BrewBean Madurai</t>
        </is>
      </c>
      <c r="B7" s="70" t="n">
        <v>3.06</v>
      </c>
    </row>
    <row r="8">
      <c r="A8" s="64" t="inlineStr">
        <is>
          <t>BrewBean Peelamedu</t>
        </is>
      </c>
      <c r="B8" s="70" t="n">
        <v>3.04</v>
      </c>
    </row>
    <row r="9">
      <c r="A9" s="64" t="inlineStr">
        <is>
          <t>BrewBean Gandhipuram</t>
        </is>
      </c>
      <c r="B9" s="70" t="n">
        <v>3.02</v>
      </c>
    </row>
    <row r="10">
      <c r="A10" s="64" t="inlineStr">
        <is>
          <t>BrewBean Pollachi</t>
        </is>
      </c>
      <c r="B10" s="70" t="n">
        <v>3</v>
      </c>
    </row>
    <row r="11">
      <c r="A11" s="64" t="inlineStr">
        <is>
          <t>BrewBean Tiruppur</t>
        </is>
      </c>
      <c r="B11" s="70" t="n">
        <v>2.94</v>
      </c>
    </row>
    <row r="12">
      <c r="A12" s="64" t="inlineStr">
        <is>
          <t>BrewBean Saibaba Colony</t>
        </is>
      </c>
      <c r="B12" s="70" t="n">
        <v>2.88</v>
      </c>
    </row>
    <row r="13">
      <c r="A13" s="64" t="inlineStr">
        <is>
          <t>BrewBean Trichy</t>
        </is>
      </c>
      <c r="B13" s="70" t="n">
        <v>2.86</v>
      </c>
    </row>
    <row r="14">
      <c r="A14" s="63" t="inlineStr">
        <is>
          <t>Grand Total</t>
        </is>
      </c>
      <c r="B14" s="71" t="n">
        <v>3.04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tabColor rgb="003B6FB6"/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62" t="inlineStr">
        <is>
          <t>Inventory Movement by Outlet (no date field in data)</t>
        </is>
      </c>
    </row>
    <row r="3">
      <c r="A3" s="63" t="inlineStr">
        <is>
          <t>Row Labels</t>
        </is>
      </c>
      <c r="B3" s="63" t="inlineStr">
        <is>
          <t>Sum of Opening_Stock</t>
        </is>
      </c>
      <c r="C3" s="63" t="inlineStr">
        <is>
          <t>Sum of Received_Stock</t>
        </is>
      </c>
      <c r="D3" s="63" t="inlineStr">
        <is>
          <t>Sum of Units_Sold</t>
        </is>
      </c>
      <c r="E3" s="63" t="inlineStr">
        <is>
          <t>Sum of Wastage</t>
        </is>
      </c>
      <c r="F3" s="63" t="inlineStr">
        <is>
          <t>Sum of Closing_Stock_Adj</t>
        </is>
      </c>
    </row>
    <row r="4">
      <c r="A4" s="64" t="inlineStr">
        <is>
          <t>BrewBean RS Puram</t>
        </is>
      </c>
      <c r="B4" s="65" t="n">
        <v>4419</v>
      </c>
      <c r="C4" s="65" t="n">
        <v>2779</v>
      </c>
      <c r="D4" s="65" t="n">
        <v>5554</v>
      </c>
      <c r="E4" s="65" t="n">
        <v>112</v>
      </c>
      <c r="F4" s="65" t="n">
        <v>2131</v>
      </c>
    </row>
    <row r="5">
      <c r="A5" s="64" t="inlineStr">
        <is>
          <t>BrewBean Saravanampatti</t>
        </is>
      </c>
      <c r="B5" s="65" t="n">
        <v>4625</v>
      </c>
      <c r="C5" s="65" t="n">
        <v>2994</v>
      </c>
      <c r="D5" s="65" t="n">
        <v>4676</v>
      </c>
      <c r="E5" s="65" t="n">
        <v>109</v>
      </c>
      <c r="F5" s="65" t="n">
        <v>2984</v>
      </c>
    </row>
    <row r="6">
      <c r="A6" s="64" t="inlineStr">
        <is>
          <t>BrewBean Saibaba Colony</t>
        </is>
      </c>
      <c r="B6" s="65" t="n">
        <v>4741</v>
      </c>
      <c r="C6" s="65" t="n">
        <v>2927</v>
      </c>
      <c r="D6" s="65" t="n">
        <v>4557</v>
      </c>
      <c r="E6" s="65" t="n">
        <v>112</v>
      </c>
      <c r="F6" s="65" t="n">
        <v>3221</v>
      </c>
    </row>
    <row r="7">
      <c r="A7" s="64" t="inlineStr">
        <is>
          <t>BrewBean Gandhipuram</t>
        </is>
      </c>
      <c r="B7" s="65" t="n">
        <v>5033</v>
      </c>
      <c r="C7" s="65" t="n">
        <v>2733</v>
      </c>
      <c r="D7" s="65" t="n">
        <v>4419</v>
      </c>
      <c r="E7" s="65" t="n">
        <v>115</v>
      </c>
      <c r="F7" s="65" t="n">
        <v>3335</v>
      </c>
    </row>
    <row r="8">
      <c r="A8" s="64" t="inlineStr">
        <is>
          <t>BrewBean Trichy</t>
        </is>
      </c>
      <c r="B8" s="65" t="n">
        <v>4689</v>
      </c>
      <c r="C8" s="65" t="n">
        <v>2867</v>
      </c>
      <c r="D8" s="65" t="n">
        <v>4330</v>
      </c>
      <c r="E8" s="65" t="n">
        <v>124</v>
      </c>
      <c r="F8" s="65" t="n">
        <v>3313</v>
      </c>
    </row>
    <row r="9">
      <c r="A9" s="64" t="inlineStr">
        <is>
          <t>BrewBean Madurai</t>
        </is>
      </c>
      <c r="B9" s="65" t="n">
        <v>4601</v>
      </c>
      <c r="C9" s="65" t="n">
        <v>2910</v>
      </c>
      <c r="D9" s="65" t="n">
        <v>4293</v>
      </c>
      <c r="E9" s="65" t="n">
        <v>117</v>
      </c>
      <c r="F9" s="65" t="n">
        <v>3201</v>
      </c>
    </row>
    <row r="10">
      <c r="A10" s="64" t="inlineStr">
        <is>
          <t>BrewBean Tiruppur</t>
        </is>
      </c>
      <c r="B10" s="65" t="n">
        <v>5149</v>
      </c>
      <c r="C10" s="65" t="n">
        <v>2957</v>
      </c>
      <c r="D10" s="65" t="n">
        <v>4270</v>
      </c>
      <c r="E10" s="65" t="n">
        <v>113</v>
      </c>
      <c r="F10" s="65" t="n">
        <v>3827</v>
      </c>
    </row>
    <row r="11">
      <c r="A11" s="64" t="inlineStr">
        <is>
          <t>BrewBean Peelamedu</t>
        </is>
      </c>
      <c r="B11" s="65" t="n">
        <v>4875</v>
      </c>
      <c r="C11" s="65" t="n">
        <v>3127</v>
      </c>
      <c r="D11" s="65" t="n">
        <v>4251</v>
      </c>
      <c r="E11" s="65" t="n">
        <v>121</v>
      </c>
      <c r="F11" s="65" t="n">
        <v>3676</v>
      </c>
    </row>
    <row r="12">
      <c r="A12" s="64" t="inlineStr">
        <is>
          <t>BrewBean Salem</t>
        </is>
      </c>
      <c r="B12" s="65" t="n">
        <v>4777</v>
      </c>
      <c r="C12" s="65" t="n">
        <v>3021</v>
      </c>
      <c r="D12" s="65" t="n">
        <v>4194</v>
      </c>
      <c r="E12" s="65" t="n">
        <v>120</v>
      </c>
      <c r="F12" s="65" t="n">
        <v>3554</v>
      </c>
    </row>
    <row r="13">
      <c r="A13" s="64" t="inlineStr">
        <is>
          <t>BrewBean Pollachi</t>
        </is>
      </c>
      <c r="B13" s="65" t="n">
        <v>4708</v>
      </c>
      <c r="C13" s="65" t="n">
        <v>3181</v>
      </c>
      <c r="D13" s="65" t="n">
        <v>4028</v>
      </c>
      <c r="E13" s="65" t="n">
        <v>106</v>
      </c>
      <c r="F13" s="65" t="n">
        <v>3841</v>
      </c>
    </row>
    <row r="14">
      <c r="A14" s="63" t="inlineStr">
        <is>
          <t>Grand Total</t>
        </is>
      </c>
      <c r="B14" s="66" t="n">
        <v>47617</v>
      </c>
      <c r="C14" s="66" t="n">
        <v>29496</v>
      </c>
      <c r="D14" s="66" t="n">
        <v>44572</v>
      </c>
      <c r="E14" s="66" t="n">
        <v>1149</v>
      </c>
      <c r="F14" s="66" t="n">
        <v>33083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tabColor rgb="003B6FB6"/>
    <outlinePr summaryBelow="1" summaryRight="1"/>
    <pageSetUpPr/>
  </sheetPr>
  <dimension ref="B1:V9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4" customWidth="1" min="2" max="2"/>
    <col width="15" customWidth="1" min="3" max="3"/>
    <col width="15" customWidth="1" min="4" max="4"/>
    <col width="15" customWidth="1" min="5" max="5"/>
    <col width="24" customWidth="1" min="6" max="6"/>
    <col width="24" customWidth="1" min="7" max="7"/>
    <col width="15" customWidth="1" min="8" max="8"/>
    <col width="15" customWidth="1" min="9" max="9"/>
    <col width="24" customWidth="1" min="10" max="10"/>
    <col width="24" customWidth="1" min="11" max="11"/>
    <col width="15" customWidth="1" min="12" max="12"/>
    <col width="15" customWidth="1" min="13" max="13"/>
    <col width="15" customWidth="1" min="14" max="14"/>
    <col width="24" customWidth="1" min="15" max="15"/>
    <col width="15" customWidth="1" min="16" max="16"/>
    <col width="15" customWidth="1" min="17" max="17"/>
    <col width="15" customWidth="1" min="18" max="18"/>
    <col width="15" customWidth="1" min="19" max="19"/>
    <col width="15" customWidth="1" min="20" max="20"/>
    <col width="15" customWidth="1" min="21" max="21"/>
    <col width="15" customWidth="1" min="22" max="22"/>
  </cols>
  <sheetData>
    <row r="1" ht="34" customHeight="1">
      <c r="B1" s="1" t="inlineStr">
        <is>
          <t>📊 Dashboard data tables (formula-driven – these feed the dashboard charts)</t>
        </is>
      </c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</row>
    <row r="2">
      <c r="B2" s="3" t="inlineStr">
        <is>
          <t>Each block is a separate pivot-style table. Stock Utilization by Outlet is an average of line-level utilization. Totals row = overall.</t>
        </is>
      </c>
    </row>
    <row r="5">
      <c r="B5" s="72" t="inlineStr">
        <is>
          <t>1 · Units Sold by Outlet</t>
        </is>
      </c>
      <c r="F5" s="72" t="inlineStr">
        <is>
          <t>3 · Wastage by Outlet</t>
        </is>
      </c>
      <c r="J5" s="72" t="inlineStr">
        <is>
          <t>5 · Closing Stock by Outlet</t>
        </is>
      </c>
      <c r="O5" s="72" t="inlineStr">
        <is>
          <t>7 · Stock Utilization by Outlet</t>
        </is>
      </c>
    </row>
    <row r="6" ht="30" customHeight="1">
      <c r="B6" s="73" t="inlineStr">
        <is>
          <t>Outlet</t>
        </is>
      </c>
      <c r="C6" s="74" t="inlineStr">
        <is>
          <t>Units Sold</t>
        </is>
      </c>
      <c r="D6" s="74" t="inlineStr">
        <is>
          <t>Share of Total</t>
        </is>
      </c>
      <c r="F6" s="73" t="inlineStr">
        <is>
          <t>Outlet</t>
        </is>
      </c>
      <c r="G6" s="74" t="inlineStr">
        <is>
          <t>Wastage (units)</t>
        </is>
      </c>
      <c r="H6" s="74" t="inlineStr">
        <is>
          <t>Wastage %</t>
        </is>
      </c>
      <c r="J6" s="73" t="inlineStr">
        <is>
          <t>Outlet</t>
        </is>
      </c>
      <c r="K6" s="74" t="inlineStr">
        <is>
          <t>Closing Stock</t>
        </is>
      </c>
      <c r="L6" s="74" t="inlineStr">
        <is>
          <t>Stock Shortfall</t>
        </is>
      </c>
      <c r="M6" s="74" t="inlineStr">
        <is>
          <t>Reorder Lines</t>
        </is>
      </c>
      <c r="O6" s="73" t="inlineStr">
        <is>
          <t>Outlet</t>
        </is>
      </c>
      <c r="P6" s="74" t="inlineStr">
        <is>
          <t>Avg Utilization %</t>
        </is>
      </c>
      <c r="Q6" s="74" t="inlineStr">
        <is>
          <t>Lines &gt; 100%</t>
        </is>
      </c>
      <c r="V6" s="75" t="inlineStr">
        <is>
          <t>helper: low-utilization list</t>
        </is>
      </c>
    </row>
    <row r="7">
      <c r="B7" s="76" t="inlineStr">
        <is>
          <t>BrewBean RS Puram</t>
        </is>
      </c>
      <c r="C7" s="77">
        <f>SUMIFS(Inventory_Clean!$I$2:$I$501,Inventory_Clean!$C$2:$C$501,$B7)</f>
        <v/>
      </c>
      <c r="D7" s="78">
        <f>IFERROR(C7/C$17,0)</f>
        <v/>
      </c>
      <c r="F7" s="76" t="inlineStr">
        <is>
          <t>BrewBean Trichy</t>
        </is>
      </c>
      <c r="G7" s="77">
        <f>SUMIFS(Inventory_Clean!$J$2:$J$501,Inventory_Clean!$C$2:$C$501,$F7)</f>
        <v/>
      </c>
      <c r="H7" s="79">
        <f>IFERROR(SUMIFS(Inventory_Clean!$J$2:$J$501,Inventory_Clean!$C$2:$C$501,$F7)/SUMIFS(Inventory_Clean!$O$2:$O$501,Inventory_Clean!$C$2:$C$501,$F7),0)</f>
        <v/>
      </c>
      <c r="J7" s="76" t="inlineStr">
        <is>
          <t>BrewBean Pollachi</t>
        </is>
      </c>
      <c r="K7" s="77">
        <f>SUMIFS(Inventory_Clean!$Q$2:$Q$501,Inventory_Clean!$C$2:$C$501,$J7)</f>
        <v/>
      </c>
      <c r="L7" s="77">
        <f>SUMIFS(Inventory_Clean!$R$2:$R$501,Inventory_Clean!$C$2:$C$501,$J7)</f>
        <v/>
      </c>
      <c r="M7" s="77">
        <f>COUNTIFS(Inventory_Clean!$C$2:$C$501,$J7,Inventory_Clean!$U$2:$U$501,"Reorder Required")</f>
        <v/>
      </c>
      <c r="O7" s="76" t="inlineStr">
        <is>
          <t>BrewBean RS Puram</t>
        </is>
      </c>
      <c r="P7" s="78">
        <f>IFERROR(AVERAGEIFS(Inventory_Clean!$T$2:$T$501,Inventory_Clean!$C$2:$C$501,$O7),0)</f>
        <v/>
      </c>
      <c r="Q7" s="77">
        <f>COUNTIFS(Inventory_Clean!$C$2:$C$501,$O7,Inventory_Clean!$T$2:$T$501,"&gt;1")</f>
        <v/>
      </c>
      <c r="V7" s="75">
        <f>IF(P7&lt;$P$17,MID(O7,10,40),"")</f>
        <v/>
      </c>
    </row>
    <row r="8">
      <c r="B8" s="76" t="inlineStr">
        <is>
          <t>BrewBean Saravanampatti</t>
        </is>
      </c>
      <c r="C8" s="77">
        <f>SUMIFS(Inventory_Clean!$I$2:$I$501,Inventory_Clean!$C$2:$C$501,$B8)</f>
        <v/>
      </c>
      <c r="D8" s="78">
        <f>IFERROR(C8/C$17,0)</f>
        <v/>
      </c>
      <c r="F8" s="76" t="inlineStr">
        <is>
          <t>BrewBean Peelamedu</t>
        </is>
      </c>
      <c r="G8" s="77">
        <f>SUMIFS(Inventory_Clean!$J$2:$J$501,Inventory_Clean!$C$2:$C$501,$F8)</f>
        <v/>
      </c>
      <c r="H8" s="79">
        <f>IFERROR(SUMIFS(Inventory_Clean!$J$2:$J$501,Inventory_Clean!$C$2:$C$501,$F8)/SUMIFS(Inventory_Clean!$O$2:$O$501,Inventory_Clean!$C$2:$C$501,$F8),0)</f>
        <v/>
      </c>
      <c r="J8" s="76" t="inlineStr">
        <is>
          <t>BrewBean Tiruppur</t>
        </is>
      </c>
      <c r="K8" s="77">
        <f>SUMIFS(Inventory_Clean!$Q$2:$Q$501,Inventory_Clean!$C$2:$C$501,$J8)</f>
        <v/>
      </c>
      <c r="L8" s="77">
        <f>SUMIFS(Inventory_Clean!$R$2:$R$501,Inventory_Clean!$C$2:$C$501,$J8)</f>
        <v/>
      </c>
      <c r="M8" s="77">
        <f>COUNTIFS(Inventory_Clean!$C$2:$C$501,$J8,Inventory_Clean!$U$2:$U$501,"Reorder Required")</f>
        <v/>
      </c>
      <c r="O8" s="76" t="inlineStr">
        <is>
          <t>BrewBean Saravanampatti</t>
        </is>
      </c>
      <c r="P8" s="78">
        <f>IFERROR(AVERAGEIFS(Inventory_Clean!$T$2:$T$501,Inventory_Clean!$C$2:$C$501,$O8),0)</f>
        <v/>
      </c>
      <c r="Q8" s="77">
        <f>COUNTIFS(Inventory_Clean!$C$2:$C$501,$O8,Inventory_Clean!$T$2:$T$501,"&gt;1")</f>
        <v/>
      </c>
      <c r="V8" s="75">
        <f>IF(P8&lt;$P$17,IF(V7="","",V7&amp;", ")&amp;MID(O8,10,40),V7)</f>
        <v/>
      </c>
    </row>
    <row r="9">
      <c r="B9" s="76" t="inlineStr">
        <is>
          <t>BrewBean Saibaba Colony</t>
        </is>
      </c>
      <c r="C9" s="77">
        <f>SUMIFS(Inventory_Clean!$I$2:$I$501,Inventory_Clean!$C$2:$C$501,$B9)</f>
        <v/>
      </c>
      <c r="D9" s="78">
        <f>IFERROR(C9/C$17,0)</f>
        <v/>
      </c>
      <c r="F9" s="76" t="inlineStr">
        <is>
          <t>BrewBean Salem</t>
        </is>
      </c>
      <c r="G9" s="77">
        <f>SUMIFS(Inventory_Clean!$J$2:$J$501,Inventory_Clean!$C$2:$C$501,$F9)</f>
        <v/>
      </c>
      <c r="H9" s="79">
        <f>IFERROR(SUMIFS(Inventory_Clean!$J$2:$J$501,Inventory_Clean!$C$2:$C$501,$F9)/SUMIFS(Inventory_Clean!$O$2:$O$501,Inventory_Clean!$C$2:$C$501,$F9),0)</f>
        <v/>
      </c>
      <c r="J9" s="76" t="inlineStr">
        <is>
          <t>BrewBean Peelamedu</t>
        </is>
      </c>
      <c r="K9" s="77">
        <f>SUMIFS(Inventory_Clean!$Q$2:$Q$501,Inventory_Clean!$C$2:$C$501,$J9)</f>
        <v/>
      </c>
      <c r="L9" s="77">
        <f>SUMIFS(Inventory_Clean!$R$2:$R$501,Inventory_Clean!$C$2:$C$501,$J9)</f>
        <v/>
      </c>
      <c r="M9" s="77">
        <f>COUNTIFS(Inventory_Clean!$C$2:$C$501,$J9,Inventory_Clean!$U$2:$U$501,"Reorder Required")</f>
        <v/>
      </c>
      <c r="O9" s="76" t="inlineStr">
        <is>
          <t>BrewBean Saibaba Colony</t>
        </is>
      </c>
      <c r="P9" s="78">
        <f>IFERROR(AVERAGEIFS(Inventory_Clean!$T$2:$T$501,Inventory_Clean!$C$2:$C$501,$O9),0)</f>
        <v/>
      </c>
      <c r="Q9" s="77">
        <f>COUNTIFS(Inventory_Clean!$C$2:$C$501,$O9,Inventory_Clean!$T$2:$T$501,"&gt;1")</f>
        <v/>
      </c>
      <c r="V9" s="75">
        <f>IF(P9&lt;$P$17,IF(V8="","",V8&amp;", ")&amp;MID(O9,10,40),V8)</f>
        <v/>
      </c>
    </row>
    <row r="10">
      <c r="B10" s="76" t="inlineStr">
        <is>
          <t>BrewBean Gandhipuram</t>
        </is>
      </c>
      <c r="C10" s="77">
        <f>SUMIFS(Inventory_Clean!$I$2:$I$501,Inventory_Clean!$C$2:$C$501,$B10)</f>
        <v/>
      </c>
      <c r="D10" s="78">
        <f>IFERROR(C10/C$17,0)</f>
        <v/>
      </c>
      <c r="F10" s="76" t="inlineStr">
        <is>
          <t>BrewBean Madurai</t>
        </is>
      </c>
      <c r="G10" s="77">
        <f>SUMIFS(Inventory_Clean!$J$2:$J$501,Inventory_Clean!$C$2:$C$501,$F10)</f>
        <v/>
      </c>
      <c r="H10" s="79">
        <f>IFERROR(SUMIFS(Inventory_Clean!$J$2:$J$501,Inventory_Clean!$C$2:$C$501,$F10)/SUMIFS(Inventory_Clean!$O$2:$O$501,Inventory_Clean!$C$2:$C$501,$F10),0)</f>
        <v/>
      </c>
      <c r="J10" s="76" t="inlineStr">
        <is>
          <t>BrewBean Salem</t>
        </is>
      </c>
      <c r="K10" s="77">
        <f>SUMIFS(Inventory_Clean!$Q$2:$Q$501,Inventory_Clean!$C$2:$C$501,$J10)</f>
        <v/>
      </c>
      <c r="L10" s="77">
        <f>SUMIFS(Inventory_Clean!$R$2:$R$501,Inventory_Clean!$C$2:$C$501,$J10)</f>
        <v/>
      </c>
      <c r="M10" s="77">
        <f>COUNTIFS(Inventory_Clean!$C$2:$C$501,$J10,Inventory_Clean!$U$2:$U$501,"Reorder Required")</f>
        <v/>
      </c>
      <c r="O10" s="76" t="inlineStr">
        <is>
          <t>BrewBean Trichy</t>
        </is>
      </c>
      <c r="P10" s="78">
        <f>IFERROR(AVERAGEIFS(Inventory_Clean!$T$2:$T$501,Inventory_Clean!$C$2:$C$501,$O10),0)</f>
        <v/>
      </c>
      <c r="Q10" s="77">
        <f>COUNTIFS(Inventory_Clean!$C$2:$C$501,$O10,Inventory_Clean!$T$2:$T$501,"&gt;1")</f>
        <v/>
      </c>
      <c r="V10" s="75">
        <f>IF(P10&lt;$P$17,IF(V9="","",V9&amp;", ")&amp;MID(O10,10,40),V9)</f>
        <v/>
      </c>
    </row>
    <row r="11">
      <c r="B11" s="76" t="inlineStr">
        <is>
          <t>BrewBean Trichy</t>
        </is>
      </c>
      <c r="C11" s="77">
        <f>SUMIFS(Inventory_Clean!$I$2:$I$501,Inventory_Clean!$C$2:$C$501,$B11)</f>
        <v/>
      </c>
      <c r="D11" s="78">
        <f>IFERROR(C11/C$17,0)</f>
        <v/>
      </c>
      <c r="F11" s="76" t="inlineStr">
        <is>
          <t>BrewBean Gandhipuram</t>
        </is>
      </c>
      <c r="G11" s="77">
        <f>SUMIFS(Inventory_Clean!$J$2:$J$501,Inventory_Clean!$C$2:$C$501,$F11)</f>
        <v/>
      </c>
      <c r="H11" s="79">
        <f>IFERROR(SUMIFS(Inventory_Clean!$J$2:$J$501,Inventory_Clean!$C$2:$C$501,$F11)/SUMIFS(Inventory_Clean!$O$2:$O$501,Inventory_Clean!$C$2:$C$501,$F11),0)</f>
        <v/>
      </c>
      <c r="J11" s="76" t="inlineStr">
        <is>
          <t>BrewBean Gandhipuram</t>
        </is>
      </c>
      <c r="K11" s="77">
        <f>SUMIFS(Inventory_Clean!$Q$2:$Q$501,Inventory_Clean!$C$2:$C$501,$J11)</f>
        <v/>
      </c>
      <c r="L11" s="77">
        <f>SUMIFS(Inventory_Clean!$R$2:$R$501,Inventory_Clean!$C$2:$C$501,$J11)</f>
        <v/>
      </c>
      <c r="M11" s="77">
        <f>COUNTIFS(Inventory_Clean!$C$2:$C$501,$J11,Inventory_Clean!$U$2:$U$501,"Reorder Required")</f>
        <v/>
      </c>
      <c r="O11" s="76" t="inlineStr">
        <is>
          <t>BrewBean Madurai</t>
        </is>
      </c>
      <c r="P11" s="78">
        <f>IFERROR(AVERAGEIFS(Inventory_Clean!$T$2:$T$501,Inventory_Clean!$C$2:$C$501,$O11),0)</f>
        <v/>
      </c>
      <c r="Q11" s="77">
        <f>COUNTIFS(Inventory_Clean!$C$2:$C$501,$O11,Inventory_Clean!$T$2:$T$501,"&gt;1")</f>
        <v/>
      </c>
      <c r="V11" s="75">
        <f>IF(P11&lt;$P$17,IF(V10="","",V10&amp;", ")&amp;MID(O11,10,40),V10)</f>
        <v/>
      </c>
    </row>
    <row r="12">
      <c r="B12" s="76" t="inlineStr">
        <is>
          <t>BrewBean Madurai</t>
        </is>
      </c>
      <c r="C12" s="77">
        <f>SUMIFS(Inventory_Clean!$I$2:$I$501,Inventory_Clean!$C$2:$C$501,$B12)</f>
        <v/>
      </c>
      <c r="D12" s="78">
        <f>IFERROR(C12/C$17,0)</f>
        <v/>
      </c>
      <c r="F12" s="76" t="inlineStr">
        <is>
          <t>BrewBean Tiruppur</t>
        </is>
      </c>
      <c r="G12" s="77">
        <f>SUMIFS(Inventory_Clean!$J$2:$J$501,Inventory_Clean!$C$2:$C$501,$F12)</f>
        <v/>
      </c>
      <c r="H12" s="79">
        <f>IFERROR(SUMIFS(Inventory_Clean!$J$2:$J$501,Inventory_Clean!$C$2:$C$501,$F12)/SUMIFS(Inventory_Clean!$O$2:$O$501,Inventory_Clean!$C$2:$C$501,$F12),0)</f>
        <v/>
      </c>
      <c r="J12" s="76" t="inlineStr">
        <is>
          <t>BrewBean Trichy</t>
        </is>
      </c>
      <c r="K12" s="77">
        <f>SUMIFS(Inventory_Clean!$Q$2:$Q$501,Inventory_Clean!$C$2:$C$501,$J12)</f>
        <v/>
      </c>
      <c r="L12" s="77">
        <f>SUMIFS(Inventory_Clean!$R$2:$R$501,Inventory_Clean!$C$2:$C$501,$J12)</f>
        <v/>
      </c>
      <c r="M12" s="77">
        <f>COUNTIFS(Inventory_Clean!$C$2:$C$501,$J12,Inventory_Clean!$U$2:$U$501,"Reorder Required")</f>
        <v/>
      </c>
      <c r="O12" s="76" t="inlineStr">
        <is>
          <t>BrewBean Gandhipuram</t>
        </is>
      </c>
      <c r="P12" s="78">
        <f>IFERROR(AVERAGEIFS(Inventory_Clean!$T$2:$T$501,Inventory_Clean!$C$2:$C$501,$O12),0)</f>
        <v/>
      </c>
      <c r="Q12" s="77">
        <f>COUNTIFS(Inventory_Clean!$C$2:$C$501,$O12,Inventory_Clean!$T$2:$T$501,"&gt;1")</f>
        <v/>
      </c>
      <c r="V12" s="75">
        <f>IF(P12&lt;$P$17,IF(V11="","",V11&amp;", ")&amp;MID(O12,10,40),V11)</f>
        <v/>
      </c>
    </row>
    <row r="13">
      <c r="B13" s="76" t="inlineStr">
        <is>
          <t>BrewBean Tiruppur</t>
        </is>
      </c>
      <c r="C13" s="77">
        <f>SUMIFS(Inventory_Clean!$I$2:$I$501,Inventory_Clean!$C$2:$C$501,$B13)</f>
        <v/>
      </c>
      <c r="D13" s="78">
        <f>IFERROR(C13/C$17,0)</f>
        <v/>
      </c>
      <c r="F13" s="76" t="inlineStr">
        <is>
          <t>BrewBean RS Puram</t>
        </is>
      </c>
      <c r="G13" s="77">
        <f>SUMIFS(Inventory_Clean!$J$2:$J$501,Inventory_Clean!$C$2:$C$501,$F13)</f>
        <v/>
      </c>
      <c r="H13" s="79">
        <f>IFERROR(SUMIFS(Inventory_Clean!$J$2:$J$501,Inventory_Clean!$C$2:$C$501,$F13)/SUMIFS(Inventory_Clean!$O$2:$O$501,Inventory_Clean!$C$2:$C$501,$F13),0)</f>
        <v/>
      </c>
      <c r="J13" s="76" t="inlineStr">
        <is>
          <t>BrewBean Saibaba Colony</t>
        </is>
      </c>
      <c r="K13" s="77">
        <f>SUMIFS(Inventory_Clean!$Q$2:$Q$501,Inventory_Clean!$C$2:$C$501,$J13)</f>
        <v/>
      </c>
      <c r="L13" s="77">
        <f>SUMIFS(Inventory_Clean!$R$2:$R$501,Inventory_Clean!$C$2:$C$501,$J13)</f>
        <v/>
      </c>
      <c r="M13" s="77">
        <f>COUNTIFS(Inventory_Clean!$C$2:$C$501,$J13,Inventory_Clean!$U$2:$U$501,"Reorder Required")</f>
        <v/>
      </c>
      <c r="O13" s="76" t="inlineStr">
        <is>
          <t>BrewBean Peelamedu</t>
        </is>
      </c>
      <c r="P13" s="78">
        <f>IFERROR(AVERAGEIFS(Inventory_Clean!$T$2:$T$501,Inventory_Clean!$C$2:$C$501,$O13),0)</f>
        <v/>
      </c>
      <c r="Q13" s="77">
        <f>COUNTIFS(Inventory_Clean!$C$2:$C$501,$O13,Inventory_Clean!$T$2:$T$501,"&gt;1")</f>
        <v/>
      </c>
      <c r="V13" s="75">
        <f>IF(P13&lt;$P$17,IF(V12="","",V12&amp;", ")&amp;MID(O13,10,40),V12)</f>
        <v/>
      </c>
    </row>
    <row r="14">
      <c r="B14" s="76" t="inlineStr">
        <is>
          <t>BrewBean Peelamedu</t>
        </is>
      </c>
      <c r="C14" s="77">
        <f>SUMIFS(Inventory_Clean!$I$2:$I$501,Inventory_Clean!$C$2:$C$501,$B14)</f>
        <v/>
      </c>
      <c r="D14" s="78">
        <f>IFERROR(C14/C$17,0)</f>
        <v/>
      </c>
      <c r="F14" s="76" t="inlineStr">
        <is>
          <t>BrewBean Saibaba Colony</t>
        </is>
      </c>
      <c r="G14" s="77">
        <f>SUMIFS(Inventory_Clean!$J$2:$J$501,Inventory_Clean!$C$2:$C$501,$F14)</f>
        <v/>
      </c>
      <c r="H14" s="79">
        <f>IFERROR(SUMIFS(Inventory_Clean!$J$2:$J$501,Inventory_Clean!$C$2:$C$501,$F14)/SUMIFS(Inventory_Clean!$O$2:$O$501,Inventory_Clean!$C$2:$C$501,$F14),0)</f>
        <v/>
      </c>
      <c r="J14" s="76" t="inlineStr">
        <is>
          <t>BrewBean Madurai</t>
        </is>
      </c>
      <c r="K14" s="77">
        <f>SUMIFS(Inventory_Clean!$Q$2:$Q$501,Inventory_Clean!$C$2:$C$501,$J14)</f>
        <v/>
      </c>
      <c r="L14" s="77">
        <f>SUMIFS(Inventory_Clean!$R$2:$R$501,Inventory_Clean!$C$2:$C$501,$J14)</f>
        <v/>
      </c>
      <c r="M14" s="77">
        <f>COUNTIFS(Inventory_Clean!$C$2:$C$501,$J14,Inventory_Clean!$U$2:$U$501,"Reorder Required")</f>
        <v/>
      </c>
      <c r="O14" s="76" t="inlineStr">
        <is>
          <t>BrewBean Tiruppur</t>
        </is>
      </c>
      <c r="P14" s="78">
        <f>IFERROR(AVERAGEIFS(Inventory_Clean!$T$2:$T$501,Inventory_Clean!$C$2:$C$501,$O14),0)</f>
        <v/>
      </c>
      <c r="Q14" s="77">
        <f>COUNTIFS(Inventory_Clean!$C$2:$C$501,$O14,Inventory_Clean!$T$2:$T$501,"&gt;1")</f>
        <v/>
      </c>
      <c r="V14" s="75">
        <f>IF(P14&lt;$P$17,IF(V13="","",V13&amp;", ")&amp;MID(O14,10,40),V13)</f>
        <v/>
      </c>
    </row>
    <row r="15">
      <c r="B15" s="76" t="inlineStr">
        <is>
          <t>BrewBean Salem</t>
        </is>
      </c>
      <c r="C15" s="77">
        <f>SUMIFS(Inventory_Clean!$I$2:$I$501,Inventory_Clean!$C$2:$C$501,$B15)</f>
        <v/>
      </c>
      <c r="D15" s="78">
        <f>IFERROR(C15/C$17,0)</f>
        <v/>
      </c>
      <c r="F15" s="76" t="inlineStr">
        <is>
          <t>BrewBean Saravanampatti</t>
        </is>
      </c>
      <c r="G15" s="77">
        <f>SUMIFS(Inventory_Clean!$J$2:$J$501,Inventory_Clean!$C$2:$C$501,$F15)</f>
        <v/>
      </c>
      <c r="H15" s="79">
        <f>IFERROR(SUMIFS(Inventory_Clean!$J$2:$J$501,Inventory_Clean!$C$2:$C$501,$F15)/SUMIFS(Inventory_Clean!$O$2:$O$501,Inventory_Clean!$C$2:$C$501,$F15),0)</f>
        <v/>
      </c>
      <c r="J15" s="76" t="inlineStr">
        <is>
          <t>BrewBean Saravanampatti</t>
        </is>
      </c>
      <c r="K15" s="77">
        <f>SUMIFS(Inventory_Clean!$Q$2:$Q$501,Inventory_Clean!$C$2:$C$501,$J15)</f>
        <v/>
      </c>
      <c r="L15" s="77">
        <f>SUMIFS(Inventory_Clean!$R$2:$R$501,Inventory_Clean!$C$2:$C$501,$J15)</f>
        <v/>
      </c>
      <c r="M15" s="77">
        <f>COUNTIFS(Inventory_Clean!$C$2:$C$501,$J15,Inventory_Clean!$U$2:$U$501,"Reorder Required")</f>
        <v/>
      </c>
      <c r="O15" s="76" t="inlineStr">
        <is>
          <t>BrewBean Salem</t>
        </is>
      </c>
      <c r="P15" s="78">
        <f>IFERROR(AVERAGEIFS(Inventory_Clean!$T$2:$T$501,Inventory_Clean!$C$2:$C$501,$O15),0)</f>
        <v/>
      </c>
      <c r="Q15" s="77">
        <f>COUNTIFS(Inventory_Clean!$C$2:$C$501,$O15,Inventory_Clean!$T$2:$T$501,"&gt;1")</f>
        <v/>
      </c>
      <c r="V15" s="75">
        <f>IF(P15&lt;$P$17,IF(V14="","",V14&amp;", ")&amp;MID(O15,10,40),V14)</f>
        <v/>
      </c>
    </row>
    <row r="16">
      <c r="B16" s="76" t="inlineStr">
        <is>
          <t>BrewBean Pollachi</t>
        </is>
      </c>
      <c r="C16" s="77">
        <f>SUMIFS(Inventory_Clean!$I$2:$I$501,Inventory_Clean!$C$2:$C$501,$B16)</f>
        <v/>
      </c>
      <c r="D16" s="78">
        <f>IFERROR(C16/C$17,0)</f>
        <v/>
      </c>
      <c r="F16" s="76" t="inlineStr">
        <is>
          <t>BrewBean Pollachi</t>
        </is>
      </c>
      <c r="G16" s="77">
        <f>SUMIFS(Inventory_Clean!$J$2:$J$501,Inventory_Clean!$C$2:$C$501,$F16)</f>
        <v/>
      </c>
      <c r="H16" s="79">
        <f>IFERROR(SUMIFS(Inventory_Clean!$J$2:$J$501,Inventory_Clean!$C$2:$C$501,$F16)/SUMIFS(Inventory_Clean!$O$2:$O$501,Inventory_Clean!$C$2:$C$501,$F16),0)</f>
        <v/>
      </c>
      <c r="J16" s="76" t="inlineStr">
        <is>
          <t>BrewBean RS Puram</t>
        </is>
      </c>
      <c r="K16" s="77">
        <f>SUMIFS(Inventory_Clean!$Q$2:$Q$501,Inventory_Clean!$C$2:$C$501,$J16)</f>
        <v/>
      </c>
      <c r="L16" s="77">
        <f>SUMIFS(Inventory_Clean!$R$2:$R$501,Inventory_Clean!$C$2:$C$501,$J16)</f>
        <v/>
      </c>
      <c r="M16" s="77">
        <f>COUNTIFS(Inventory_Clean!$C$2:$C$501,$J16,Inventory_Clean!$U$2:$U$501,"Reorder Required")</f>
        <v/>
      </c>
      <c r="O16" s="76" t="inlineStr">
        <is>
          <t>BrewBean Pollachi</t>
        </is>
      </c>
      <c r="P16" s="78">
        <f>IFERROR(AVERAGEIFS(Inventory_Clean!$T$2:$T$501,Inventory_Clean!$C$2:$C$501,$O16),0)</f>
        <v/>
      </c>
      <c r="Q16" s="77">
        <f>COUNTIFS(Inventory_Clean!$C$2:$C$501,$O16,Inventory_Clean!$T$2:$T$501,"&gt;1")</f>
        <v/>
      </c>
      <c r="V16" s="75">
        <f>IF(P16&lt;$P$17,IF(V15="","",V15&amp;", ")&amp;MID(O16,10,40),V15)</f>
        <v/>
      </c>
    </row>
    <row r="17">
      <c r="B17" s="80" t="inlineStr">
        <is>
          <t>Grand Total</t>
        </is>
      </c>
      <c r="C17" s="81">
        <f>SUM(C7:C16)</f>
        <v/>
      </c>
      <c r="D17" s="82">
        <f>SUM(D7:D16)</f>
        <v/>
      </c>
      <c r="F17" s="80" t="inlineStr">
        <is>
          <t>Grand Total</t>
        </is>
      </c>
      <c r="G17" s="81">
        <f>SUM(G7:G16)</f>
        <v/>
      </c>
      <c r="H17" s="83">
        <f>IFERROR(SUM(Inventory_Clean!$J$2:$J$501)/SUM(Inventory_Clean!$O$2:$O$501),0)</f>
        <v/>
      </c>
      <c r="J17" s="80" t="inlineStr">
        <is>
          <t>Grand Total</t>
        </is>
      </c>
      <c r="K17" s="81">
        <f>SUM(K7:K16)</f>
        <v/>
      </c>
      <c r="L17" s="81">
        <f>SUM(L7:L16)</f>
        <v/>
      </c>
      <c r="M17" s="81">
        <f>SUM(M7:M16)</f>
        <v/>
      </c>
      <c r="O17" s="80" t="inlineStr">
        <is>
          <t>Grand Total</t>
        </is>
      </c>
      <c r="P17" s="82">
        <f>AVERAGE(Inventory_Clean!$T$2:$T$501)</f>
        <v/>
      </c>
      <c r="Q17" s="81">
        <f>SUM(Q7:Q16)</f>
        <v/>
      </c>
    </row>
    <row r="20">
      <c r="B20" s="72" t="inlineStr">
        <is>
          <t>9a · Supplier Lead Time by Outlet (days)</t>
        </is>
      </c>
      <c r="F20" s="72" t="inlineStr">
        <is>
          <t>9b · Supplier Lead Time by Category (days)</t>
        </is>
      </c>
      <c r="K20" s="72" t="inlineStr">
        <is>
          <t>8 · Inventory Movement by Outlet (stock flow)</t>
        </is>
      </c>
    </row>
    <row r="21" ht="30" customHeight="1">
      <c r="B21" s="73" t="inlineStr">
        <is>
          <t>Outlet</t>
        </is>
      </c>
      <c r="C21" s="74" t="inlineStr">
        <is>
          <t>Avg Days</t>
        </is>
      </c>
      <c r="D21" s="74" t="inlineStr">
        <is>
          <t>Min</t>
        </is>
      </c>
      <c r="E21" s="74" t="inlineStr">
        <is>
          <t>Max</t>
        </is>
      </c>
      <c r="F21" s="73" t="inlineStr">
        <is>
          <t>Category</t>
        </is>
      </c>
      <c r="G21" s="74" t="inlineStr">
        <is>
          <t>Avg Days</t>
        </is>
      </c>
      <c r="H21" s="74" t="inlineStr">
        <is>
          <t>Min</t>
        </is>
      </c>
      <c r="I21" s="74" t="inlineStr">
        <is>
          <t>Max</t>
        </is>
      </c>
      <c r="K21" s="73" t="inlineStr">
        <is>
          <t>Outlet</t>
        </is>
      </c>
      <c r="L21" s="74" t="inlineStr">
        <is>
          <t>Opening Stock</t>
        </is>
      </c>
      <c r="M21" s="74" t="inlineStr">
        <is>
          <t>Received</t>
        </is>
      </c>
      <c r="N21" s="74" t="inlineStr">
        <is>
          <t>Units Sold</t>
        </is>
      </c>
      <c r="O21" s="74" t="inlineStr">
        <is>
          <t>Wastage</t>
        </is>
      </c>
      <c r="P21" s="74" t="inlineStr">
        <is>
          <t>Closing Stock</t>
        </is>
      </c>
    </row>
    <row r="22">
      <c r="B22" s="76" t="inlineStr">
        <is>
          <t>BrewBean Trichy</t>
        </is>
      </c>
      <c r="C22" s="84">
        <f>IFERROR(AVERAGEIFS(Inventory_Clean!$L$2:$L$501,Inventory_Clean!$C$2:$C$501,$B22),0)</f>
        <v/>
      </c>
      <c r="D22" s="85">
        <f>_xlfn.MINIFS(Inventory_Clean!$L$2:$L$501,Inventory_Clean!$C$2:$C$501,$B22)</f>
        <v/>
      </c>
      <c r="E22" s="85">
        <f>_xlfn.MAXIFS(Inventory_Clean!$L$2:$L$501,Inventory_Clean!$C$2:$C$501,$B22)</f>
        <v/>
      </c>
      <c r="F22" s="76" t="inlineStr">
        <is>
          <t>Coffee</t>
        </is>
      </c>
      <c r="G22" s="84">
        <f>IFERROR(AVERAGEIFS(Inventory_Clean!$L$2:$L$501,Inventory_Clean!$F$2:$F$501,$F22),0)</f>
        <v/>
      </c>
      <c r="H22" s="85">
        <f>_xlfn.MINIFS(Inventory_Clean!$L$2:$L$501,Inventory_Clean!$F$2:$F$501,$F22)</f>
        <v/>
      </c>
      <c r="I22" s="85">
        <f>_xlfn.MAXIFS(Inventory_Clean!$L$2:$L$501,Inventory_Clean!$F$2:$F$501,$F22)</f>
        <v/>
      </c>
      <c r="K22" s="76" t="inlineStr">
        <is>
          <t>BrewBean RS Puram</t>
        </is>
      </c>
      <c r="L22" s="77">
        <f>SUMIFS(Inventory_Clean!$G$2:$G$501,Inventory_Clean!$C$2:$C$501,$K22)</f>
        <v/>
      </c>
      <c r="M22" s="77">
        <f>SUMIFS(Inventory_Clean!$H$2:$H$501,Inventory_Clean!$C$2:$C$501,$K22)</f>
        <v/>
      </c>
      <c r="N22" s="77">
        <f>SUMIFS(Inventory_Clean!$I$2:$I$501,Inventory_Clean!$C$2:$C$501,$K22)</f>
        <v/>
      </c>
      <c r="O22" s="77">
        <f>SUMIFS(Inventory_Clean!$J$2:$J$501,Inventory_Clean!$C$2:$C$501,$K22)</f>
        <v/>
      </c>
      <c r="P22" s="77">
        <f>SUMIFS(Inventory_Clean!$Q$2:$Q$501,Inventory_Clean!$C$2:$C$501,$K22)</f>
        <v/>
      </c>
    </row>
    <row r="23">
      <c r="B23" s="76" t="inlineStr">
        <is>
          <t>BrewBean Saibaba Colony</t>
        </is>
      </c>
      <c r="C23" s="84">
        <f>IFERROR(AVERAGEIFS(Inventory_Clean!$L$2:$L$501,Inventory_Clean!$C$2:$C$501,$B23),0)</f>
        <v/>
      </c>
      <c r="D23" s="85">
        <f>_xlfn.MINIFS(Inventory_Clean!$L$2:$L$501,Inventory_Clean!$C$2:$C$501,$B23)</f>
        <v/>
      </c>
      <c r="E23" s="85">
        <f>_xlfn.MAXIFS(Inventory_Clean!$L$2:$L$501,Inventory_Clean!$C$2:$C$501,$B23)</f>
        <v/>
      </c>
      <c r="F23" s="76" t="inlineStr">
        <is>
          <t>Tea</t>
        </is>
      </c>
      <c r="G23" s="84">
        <f>IFERROR(AVERAGEIFS(Inventory_Clean!$L$2:$L$501,Inventory_Clean!$F$2:$F$501,$F23),0)</f>
        <v/>
      </c>
      <c r="H23" s="85">
        <f>_xlfn.MINIFS(Inventory_Clean!$L$2:$L$501,Inventory_Clean!$F$2:$F$501,$F23)</f>
        <v/>
      </c>
      <c r="I23" s="85">
        <f>_xlfn.MAXIFS(Inventory_Clean!$L$2:$L$501,Inventory_Clean!$F$2:$F$501,$F23)</f>
        <v/>
      </c>
      <c r="K23" s="76" t="inlineStr">
        <is>
          <t>BrewBean Saravanampatti</t>
        </is>
      </c>
      <c r="L23" s="77">
        <f>SUMIFS(Inventory_Clean!$G$2:$G$501,Inventory_Clean!$C$2:$C$501,$K23)</f>
        <v/>
      </c>
      <c r="M23" s="77">
        <f>SUMIFS(Inventory_Clean!$H$2:$H$501,Inventory_Clean!$C$2:$C$501,$K23)</f>
        <v/>
      </c>
      <c r="N23" s="77">
        <f>SUMIFS(Inventory_Clean!$I$2:$I$501,Inventory_Clean!$C$2:$C$501,$K23)</f>
        <v/>
      </c>
      <c r="O23" s="77">
        <f>SUMIFS(Inventory_Clean!$J$2:$J$501,Inventory_Clean!$C$2:$C$501,$K23)</f>
        <v/>
      </c>
      <c r="P23" s="77">
        <f>SUMIFS(Inventory_Clean!$Q$2:$Q$501,Inventory_Clean!$C$2:$C$501,$K23)</f>
        <v/>
      </c>
    </row>
    <row r="24">
      <c r="B24" s="76" t="inlineStr">
        <is>
          <t>BrewBean Tiruppur</t>
        </is>
      </c>
      <c r="C24" s="84">
        <f>IFERROR(AVERAGEIFS(Inventory_Clean!$L$2:$L$501,Inventory_Clean!$C$2:$C$501,$B24),0)</f>
        <v/>
      </c>
      <c r="D24" s="85">
        <f>_xlfn.MINIFS(Inventory_Clean!$L$2:$L$501,Inventory_Clean!$C$2:$C$501,$B24)</f>
        <v/>
      </c>
      <c r="E24" s="85">
        <f>_xlfn.MAXIFS(Inventory_Clean!$L$2:$L$501,Inventory_Clean!$C$2:$C$501,$B24)</f>
        <v/>
      </c>
      <c r="F24" s="76" t="inlineStr">
        <is>
          <t>Sandwich</t>
        </is>
      </c>
      <c r="G24" s="84">
        <f>IFERROR(AVERAGEIFS(Inventory_Clean!$L$2:$L$501,Inventory_Clean!$F$2:$F$501,$F24),0)</f>
        <v/>
      </c>
      <c r="H24" s="85">
        <f>_xlfn.MINIFS(Inventory_Clean!$L$2:$L$501,Inventory_Clean!$F$2:$F$501,$F24)</f>
        <v/>
      </c>
      <c r="I24" s="85">
        <f>_xlfn.MAXIFS(Inventory_Clean!$L$2:$L$501,Inventory_Clean!$F$2:$F$501,$F24)</f>
        <v/>
      </c>
      <c r="K24" s="76" t="inlineStr">
        <is>
          <t>BrewBean Saibaba Colony</t>
        </is>
      </c>
      <c r="L24" s="77">
        <f>SUMIFS(Inventory_Clean!$G$2:$G$501,Inventory_Clean!$C$2:$C$501,$K24)</f>
        <v/>
      </c>
      <c r="M24" s="77">
        <f>SUMIFS(Inventory_Clean!$H$2:$H$501,Inventory_Clean!$C$2:$C$501,$K24)</f>
        <v/>
      </c>
      <c r="N24" s="77">
        <f>SUMIFS(Inventory_Clean!$I$2:$I$501,Inventory_Clean!$C$2:$C$501,$K24)</f>
        <v/>
      </c>
      <c r="O24" s="77">
        <f>SUMIFS(Inventory_Clean!$J$2:$J$501,Inventory_Clean!$C$2:$C$501,$K24)</f>
        <v/>
      </c>
      <c r="P24" s="77">
        <f>SUMIFS(Inventory_Clean!$Q$2:$Q$501,Inventory_Clean!$C$2:$C$501,$K24)</f>
        <v/>
      </c>
    </row>
    <row r="25">
      <c r="B25" s="76" t="inlineStr">
        <is>
          <t>BrewBean Pollachi</t>
        </is>
      </c>
      <c r="C25" s="84">
        <f>IFERROR(AVERAGEIFS(Inventory_Clean!$L$2:$L$501,Inventory_Clean!$C$2:$C$501,$B25),0)</f>
        <v/>
      </c>
      <c r="D25" s="85">
        <f>_xlfn.MINIFS(Inventory_Clean!$L$2:$L$501,Inventory_Clean!$C$2:$C$501,$B25)</f>
        <v/>
      </c>
      <c r="E25" s="85">
        <f>_xlfn.MAXIFS(Inventory_Clean!$L$2:$L$501,Inventory_Clean!$C$2:$C$501,$B25)</f>
        <v/>
      </c>
      <c r="F25" s="76" t="inlineStr">
        <is>
          <t>Burger</t>
        </is>
      </c>
      <c r="G25" s="84">
        <f>IFERROR(AVERAGEIFS(Inventory_Clean!$L$2:$L$501,Inventory_Clean!$F$2:$F$501,$F25),0)</f>
        <v/>
      </c>
      <c r="H25" s="85">
        <f>_xlfn.MINIFS(Inventory_Clean!$L$2:$L$501,Inventory_Clean!$F$2:$F$501,$F25)</f>
        <v/>
      </c>
      <c r="I25" s="85">
        <f>_xlfn.MAXIFS(Inventory_Clean!$L$2:$L$501,Inventory_Clean!$F$2:$F$501,$F25)</f>
        <v/>
      </c>
      <c r="K25" s="76" t="inlineStr">
        <is>
          <t>BrewBean Gandhipuram</t>
        </is>
      </c>
      <c r="L25" s="77">
        <f>SUMIFS(Inventory_Clean!$G$2:$G$501,Inventory_Clean!$C$2:$C$501,$K25)</f>
        <v/>
      </c>
      <c r="M25" s="77">
        <f>SUMIFS(Inventory_Clean!$H$2:$H$501,Inventory_Clean!$C$2:$C$501,$K25)</f>
        <v/>
      </c>
      <c r="N25" s="77">
        <f>SUMIFS(Inventory_Clean!$I$2:$I$501,Inventory_Clean!$C$2:$C$501,$K25)</f>
        <v/>
      </c>
      <c r="O25" s="77">
        <f>SUMIFS(Inventory_Clean!$J$2:$J$501,Inventory_Clean!$C$2:$C$501,$K25)</f>
        <v/>
      </c>
      <c r="P25" s="77">
        <f>SUMIFS(Inventory_Clean!$Q$2:$Q$501,Inventory_Clean!$C$2:$C$501,$K25)</f>
        <v/>
      </c>
    </row>
    <row r="26">
      <c r="B26" s="76" t="inlineStr">
        <is>
          <t>BrewBean Gandhipuram</t>
        </is>
      </c>
      <c r="C26" s="84">
        <f>IFERROR(AVERAGEIFS(Inventory_Clean!$L$2:$L$501,Inventory_Clean!$C$2:$C$501,$B26),0)</f>
        <v/>
      </c>
      <c r="D26" s="85">
        <f>_xlfn.MINIFS(Inventory_Clean!$L$2:$L$501,Inventory_Clean!$C$2:$C$501,$B26)</f>
        <v/>
      </c>
      <c r="E26" s="85">
        <f>_xlfn.MAXIFS(Inventory_Clean!$L$2:$L$501,Inventory_Clean!$C$2:$C$501,$B26)</f>
        <v/>
      </c>
      <c r="F26" s="76" t="inlineStr">
        <is>
          <t>Wrap</t>
        </is>
      </c>
      <c r="G26" s="84">
        <f>IFERROR(AVERAGEIFS(Inventory_Clean!$L$2:$L$501,Inventory_Clean!$F$2:$F$501,$F26),0)</f>
        <v/>
      </c>
      <c r="H26" s="85">
        <f>_xlfn.MINIFS(Inventory_Clean!$L$2:$L$501,Inventory_Clean!$F$2:$F$501,$F26)</f>
        <v/>
      </c>
      <c r="I26" s="85">
        <f>_xlfn.MAXIFS(Inventory_Clean!$L$2:$L$501,Inventory_Clean!$F$2:$F$501,$F26)</f>
        <v/>
      </c>
      <c r="K26" s="76" t="inlineStr">
        <is>
          <t>BrewBean Trichy</t>
        </is>
      </c>
      <c r="L26" s="77">
        <f>SUMIFS(Inventory_Clean!$G$2:$G$501,Inventory_Clean!$C$2:$C$501,$K26)</f>
        <v/>
      </c>
      <c r="M26" s="77">
        <f>SUMIFS(Inventory_Clean!$H$2:$H$501,Inventory_Clean!$C$2:$C$501,$K26)</f>
        <v/>
      </c>
      <c r="N26" s="77">
        <f>SUMIFS(Inventory_Clean!$I$2:$I$501,Inventory_Clean!$C$2:$C$501,$K26)</f>
        <v/>
      </c>
      <c r="O26" s="77">
        <f>SUMIFS(Inventory_Clean!$J$2:$J$501,Inventory_Clean!$C$2:$C$501,$K26)</f>
        <v/>
      </c>
      <c r="P26" s="77">
        <f>SUMIFS(Inventory_Clean!$Q$2:$Q$501,Inventory_Clean!$C$2:$C$501,$K26)</f>
        <v/>
      </c>
    </row>
    <row r="27">
      <c r="B27" s="76" t="inlineStr">
        <is>
          <t>BrewBean Peelamedu</t>
        </is>
      </c>
      <c r="C27" s="84">
        <f>IFERROR(AVERAGEIFS(Inventory_Clean!$L$2:$L$501,Inventory_Clean!$C$2:$C$501,$B27),0)</f>
        <v/>
      </c>
      <c r="D27" s="85">
        <f>_xlfn.MINIFS(Inventory_Clean!$L$2:$L$501,Inventory_Clean!$C$2:$C$501,$B27)</f>
        <v/>
      </c>
      <c r="E27" s="85">
        <f>_xlfn.MAXIFS(Inventory_Clean!$L$2:$L$501,Inventory_Clean!$C$2:$C$501,$B27)</f>
        <v/>
      </c>
      <c r="F27" s="76" t="inlineStr">
        <is>
          <t>Smoothie</t>
        </is>
      </c>
      <c r="G27" s="84">
        <f>IFERROR(AVERAGEIFS(Inventory_Clean!$L$2:$L$501,Inventory_Clean!$F$2:$F$501,$F27),0)</f>
        <v/>
      </c>
      <c r="H27" s="85">
        <f>_xlfn.MINIFS(Inventory_Clean!$L$2:$L$501,Inventory_Clean!$F$2:$F$501,$F27)</f>
        <v/>
      </c>
      <c r="I27" s="85">
        <f>_xlfn.MAXIFS(Inventory_Clean!$L$2:$L$501,Inventory_Clean!$F$2:$F$501,$F27)</f>
        <v/>
      </c>
      <c r="K27" s="76" t="inlineStr">
        <is>
          <t>BrewBean Madurai</t>
        </is>
      </c>
      <c r="L27" s="77">
        <f>SUMIFS(Inventory_Clean!$G$2:$G$501,Inventory_Clean!$C$2:$C$501,$K27)</f>
        <v/>
      </c>
      <c r="M27" s="77">
        <f>SUMIFS(Inventory_Clean!$H$2:$H$501,Inventory_Clean!$C$2:$C$501,$K27)</f>
        <v/>
      </c>
      <c r="N27" s="77">
        <f>SUMIFS(Inventory_Clean!$I$2:$I$501,Inventory_Clean!$C$2:$C$501,$K27)</f>
        <v/>
      </c>
      <c r="O27" s="77">
        <f>SUMIFS(Inventory_Clean!$J$2:$J$501,Inventory_Clean!$C$2:$C$501,$K27)</f>
        <v/>
      </c>
      <c r="P27" s="77">
        <f>SUMIFS(Inventory_Clean!$Q$2:$Q$501,Inventory_Clean!$C$2:$C$501,$K27)</f>
        <v/>
      </c>
    </row>
    <row r="28">
      <c r="B28" s="76" t="inlineStr">
        <is>
          <t>BrewBean Madurai</t>
        </is>
      </c>
      <c r="C28" s="84">
        <f>IFERROR(AVERAGEIFS(Inventory_Clean!$L$2:$L$501,Inventory_Clean!$C$2:$C$501,$B28),0)</f>
        <v/>
      </c>
      <c r="D28" s="85">
        <f>_xlfn.MINIFS(Inventory_Clean!$L$2:$L$501,Inventory_Clean!$C$2:$C$501,$B28)</f>
        <v/>
      </c>
      <c r="E28" s="85">
        <f>_xlfn.MAXIFS(Inventory_Clean!$L$2:$L$501,Inventory_Clean!$C$2:$C$501,$B28)</f>
        <v/>
      </c>
      <c r="F28" s="76" t="inlineStr">
        <is>
          <t>Dessert</t>
        </is>
      </c>
      <c r="G28" s="84">
        <f>IFERROR(AVERAGEIFS(Inventory_Clean!$L$2:$L$501,Inventory_Clean!$F$2:$F$501,$F28),0)</f>
        <v/>
      </c>
      <c r="H28" s="85">
        <f>_xlfn.MINIFS(Inventory_Clean!$L$2:$L$501,Inventory_Clean!$F$2:$F$501,$F28)</f>
        <v/>
      </c>
      <c r="I28" s="85">
        <f>_xlfn.MAXIFS(Inventory_Clean!$L$2:$L$501,Inventory_Clean!$F$2:$F$501,$F28)</f>
        <v/>
      </c>
      <c r="K28" s="76" t="inlineStr">
        <is>
          <t>BrewBean Tiruppur</t>
        </is>
      </c>
      <c r="L28" s="77">
        <f>SUMIFS(Inventory_Clean!$G$2:$G$501,Inventory_Clean!$C$2:$C$501,$K28)</f>
        <v/>
      </c>
      <c r="M28" s="77">
        <f>SUMIFS(Inventory_Clean!$H$2:$H$501,Inventory_Clean!$C$2:$C$501,$K28)</f>
        <v/>
      </c>
      <c r="N28" s="77">
        <f>SUMIFS(Inventory_Clean!$I$2:$I$501,Inventory_Clean!$C$2:$C$501,$K28)</f>
        <v/>
      </c>
      <c r="O28" s="77">
        <f>SUMIFS(Inventory_Clean!$J$2:$J$501,Inventory_Clean!$C$2:$C$501,$K28)</f>
        <v/>
      </c>
      <c r="P28" s="77">
        <f>SUMIFS(Inventory_Clean!$Q$2:$Q$501,Inventory_Clean!$C$2:$C$501,$K28)</f>
        <v/>
      </c>
    </row>
    <row r="29">
      <c r="B29" s="76" t="inlineStr">
        <is>
          <t>BrewBean Salem</t>
        </is>
      </c>
      <c r="C29" s="84">
        <f>IFERROR(AVERAGEIFS(Inventory_Clean!$L$2:$L$501,Inventory_Clean!$C$2:$C$501,$B29),0)</f>
        <v/>
      </c>
      <c r="D29" s="85">
        <f>_xlfn.MINIFS(Inventory_Clean!$L$2:$L$501,Inventory_Clean!$C$2:$C$501,$B29)</f>
        <v/>
      </c>
      <c r="E29" s="85">
        <f>_xlfn.MAXIFS(Inventory_Clean!$L$2:$L$501,Inventory_Clean!$C$2:$C$501,$B29)</f>
        <v/>
      </c>
      <c r="F29" s="76" t="inlineStr">
        <is>
          <t>Fresh Juice</t>
        </is>
      </c>
      <c r="G29" s="84">
        <f>IFERROR(AVERAGEIFS(Inventory_Clean!$L$2:$L$501,Inventory_Clean!$F$2:$F$501,$F29),0)</f>
        <v/>
      </c>
      <c r="H29" s="85">
        <f>_xlfn.MINIFS(Inventory_Clean!$L$2:$L$501,Inventory_Clean!$F$2:$F$501,$F29)</f>
        <v/>
      </c>
      <c r="I29" s="85">
        <f>_xlfn.MAXIFS(Inventory_Clean!$L$2:$L$501,Inventory_Clean!$F$2:$F$501,$F29)</f>
        <v/>
      </c>
      <c r="K29" s="76" t="inlineStr">
        <is>
          <t>BrewBean Peelamedu</t>
        </is>
      </c>
      <c r="L29" s="77">
        <f>SUMIFS(Inventory_Clean!$G$2:$G$501,Inventory_Clean!$C$2:$C$501,$K29)</f>
        <v/>
      </c>
      <c r="M29" s="77">
        <f>SUMIFS(Inventory_Clean!$H$2:$H$501,Inventory_Clean!$C$2:$C$501,$K29)</f>
        <v/>
      </c>
      <c r="N29" s="77">
        <f>SUMIFS(Inventory_Clean!$I$2:$I$501,Inventory_Clean!$C$2:$C$501,$K29)</f>
        <v/>
      </c>
      <c r="O29" s="77">
        <f>SUMIFS(Inventory_Clean!$J$2:$J$501,Inventory_Clean!$C$2:$C$501,$K29)</f>
        <v/>
      </c>
      <c r="P29" s="77">
        <f>SUMIFS(Inventory_Clean!$Q$2:$Q$501,Inventory_Clean!$C$2:$C$501,$K29)</f>
        <v/>
      </c>
    </row>
    <row r="30">
      <c r="B30" s="76" t="inlineStr">
        <is>
          <t>BrewBean Saravanampatti</t>
        </is>
      </c>
      <c r="C30" s="84">
        <f>IFERROR(AVERAGEIFS(Inventory_Clean!$L$2:$L$501,Inventory_Clean!$C$2:$C$501,$B30),0)</f>
        <v/>
      </c>
      <c r="D30" s="85">
        <f>_xlfn.MINIFS(Inventory_Clean!$L$2:$L$501,Inventory_Clean!$C$2:$C$501,$B30)</f>
        <v/>
      </c>
      <c r="E30" s="85">
        <f>_xlfn.MAXIFS(Inventory_Clean!$L$2:$L$501,Inventory_Clean!$C$2:$C$501,$B30)</f>
        <v/>
      </c>
      <c r="F30" s="76" t="inlineStr">
        <is>
          <t>Beverage</t>
        </is>
      </c>
      <c r="G30" s="84">
        <f>IFERROR(AVERAGEIFS(Inventory_Clean!$L$2:$L$501,Inventory_Clean!$F$2:$F$501,$F30),0)</f>
        <v/>
      </c>
      <c r="H30" s="85">
        <f>_xlfn.MINIFS(Inventory_Clean!$L$2:$L$501,Inventory_Clean!$F$2:$F$501,$F30)</f>
        <v/>
      </c>
      <c r="I30" s="85">
        <f>_xlfn.MAXIFS(Inventory_Clean!$L$2:$L$501,Inventory_Clean!$F$2:$F$501,$F30)</f>
        <v/>
      </c>
      <c r="K30" s="76" t="inlineStr">
        <is>
          <t>BrewBean Salem</t>
        </is>
      </c>
      <c r="L30" s="77">
        <f>SUMIFS(Inventory_Clean!$G$2:$G$501,Inventory_Clean!$C$2:$C$501,$K30)</f>
        <v/>
      </c>
      <c r="M30" s="77">
        <f>SUMIFS(Inventory_Clean!$H$2:$H$501,Inventory_Clean!$C$2:$C$501,$K30)</f>
        <v/>
      </c>
      <c r="N30" s="77">
        <f>SUMIFS(Inventory_Clean!$I$2:$I$501,Inventory_Clean!$C$2:$C$501,$K30)</f>
        <v/>
      </c>
      <c r="O30" s="77">
        <f>SUMIFS(Inventory_Clean!$J$2:$J$501,Inventory_Clean!$C$2:$C$501,$K30)</f>
        <v/>
      </c>
      <c r="P30" s="77">
        <f>SUMIFS(Inventory_Clean!$Q$2:$Q$501,Inventory_Clean!$C$2:$C$501,$K30)</f>
        <v/>
      </c>
    </row>
    <row r="31">
      <c r="B31" s="76" t="inlineStr">
        <is>
          <t>BrewBean RS Puram</t>
        </is>
      </c>
      <c r="C31" s="84">
        <f>IFERROR(AVERAGEIFS(Inventory_Clean!$L$2:$L$501,Inventory_Clean!$C$2:$C$501,$B31),0)</f>
        <v/>
      </c>
      <c r="D31" s="85">
        <f>_xlfn.MINIFS(Inventory_Clean!$L$2:$L$501,Inventory_Clean!$C$2:$C$501,$B31)</f>
        <v/>
      </c>
      <c r="E31" s="85">
        <f>_xlfn.MAXIFS(Inventory_Clean!$L$2:$L$501,Inventory_Clean!$C$2:$C$501,$B31)</f>
        <v/>
      </c>
      <c r="F31" s="76" t="inlineStr">
        <is>
          <t>Cold Coffee</t>
        </is>
      </c>
      <c r="G31" s="84">
        <f>IFERROR(AVERAGEIFS(Inventory_Clean!$L$2:$L$501,Inventory_Clean!$F$2:$F$501,$F31),0)</f>
        <v/>
      </c>
      <c r="H31" s="85">
        <f>_xlfn.MINIFS(Inventory_Clean!$L$2:$L$501,Inventory_Clean!$F$2:$F$501,$F31)</f>
        <v/>
      </c>
      <c r="I31" s="85">
        <f>_xlfn.MAXIFS(Inventory_Clean!$L$2:$L$501,Inventory_Clean!$F$2:$F$501,$F31)</f>
        <v/>
      </c>
      <c r="K31" s="76" t="inlineStr">
        <is>
          <t>BrewBean Pollachi</t>
        </is>
      </c>
      <c r="L31" s="77">
        <f>SUMIFS(Inventory_Clean!$G$2:$G$501,Inventory_Clean!$C$2:$C$501,$K31)</f>
        <v/>
      </c>
      <c r="M31" s="77">
        <f>SUMIFS(Inventory_Clean!$H$2:$H$501,Inventory_Clean!$C$2:$C$501,$K31)</f>
        <v/>
      </c>
      <c r="N31" s="77">
        <f>SUMIFS(Inventory_Clean!$I$2:$I$501,Inventory_Clean!$C$2:$C$501,$K31)</f>
        <v/>
      </c>
      <c r="O31" s="77">
        <f>SUMIFS(Inventory_Clean!$J$2:$J$501,Inventory_Clean!$C$2:$C$501,$K31)</f>
        <v/>
      </c>
      <c r="P31" s="77">
        <f>SUMIFS(Inventory_Clean!$Q$2:$Q$501,Inventory_Clean!$C$2:$C$501,$K31)</f>
        <v/>
      </c>
    </row>
    <row r="32">
      <c r="B32" s="80" t="inlineStr">
        <is>
          <t>Grand Total</t>
        </is>
      </c>
      <c r="C32" s="86">
        <f>AVERAGE(Inventory_Clean!$L$2:$L$501)</f>
        <v/>
      </c>
      <c r="D32" s="87">
        <f>MIN(Inventory_Clean!$L$2:$L$501)</f>
        <v/>
      </c>
      <c r="E32" s="87">
        <f>MAX(Inventory_Clean!$L$2:$L$501)</f>
        <v/>
      </c>
      <c r="F32" s="76" t="inlineStr">
        <is>
          <t>Cake</t>
        </is>
      </c>
      <c r="G32" s="84">
        <f>IFERROR(AVERAGEIFS(Inventory_Clean!$L$2:$L$501,Inventory_Clean!$F$2:$F$501,$F32),0)</f>
        <v/>
      </c>
      <c r="H32" s="85">
        <f>_xlfn.MINIFS(Inventory_Clean!$L$2:$L$501,Inventory_Clean!$F$2:$F$501,$F32)</f>
        <v/>
      </c>
      <c r="I32" s="85">
        <f>_xlfn.MAXIFS(Inventory_Clean!$L$2:$L$501,Inventory_Clean!$F$2:$F$501,$F32)</f>
        <v/>
      </c>
      <c r="K32" s="80" t="inlineStr">
        <is>
          <t>Grand Total</t>
        </is>
      </c>
      <c r="L32" s="81">
        <f>SUM(L22:L31)</f>
        <v/>
      </c>
      <c r="M32" s="81">
        <f>SUM(M22:M31)</f>
        <v/>
      </c>
      <c r="N32" s="81">
        <f>SUM(N22:N31)</f>
        <v/>
      </c>
      <c r="O32" s="81">
        <f>SUM(O22:O31)</f>
        <v/>
      </c>
      <c r="P32" s="81">
        <f>SUM(P22:P31)</f>
        <v/>
      </c>
    </row>
    <row r="33">
      <c r="F33" s="76" t="inlineStr">
        <is>
          <t>Cookies</t>
        </is>
      </c>
      <c r="G33" s="84">
        <f>IFERROR(AVERAGEIFS(Inventory_Clean!$L$2:$L$501,Inventory_Clean!$F$2:$F$501,$F33),0)</f>
        <v/>
      </c>
      <c r="H33" s="85">
        <f>_xlfn.MINIFS(Inventory_Clean!$L$2:$L$501,Inventory_Clean!$F$2:$F$501,$F33)</f>
        <v/>
      </c>
      <c r="I33" s="85">
        <f>_xlfn.MAXIFS(Inventory_Clean!$L$2:$L$501,Inventory_Clean!$F$2:$F$501,$F33)</f>
        <v/>
      </c>
    </row>
    <row r="34">
      <c r="F34" s="76" t="inlineStr">
        <is>
          <t>Pastry</t>
        </is>
      </c>
      <c r="G34" s="84">
        <f>IFERROR(AVERAGEIFS(Inventory_Clean!$L$2:$L$501,Inventory_Clean!$F$2:$F$501,$F34),0)</f>
        <v/>
      </c>
      <c r="H34" s="85">
        <f>_xlfn.MINIFS(Inventory_Clean!$L$2:$L$501,Inventory_Clean!$F$2:$F$501,$F34)</f>
        <v/>
      </c>
      <c r="I34" s="85">
        <f>_xlfn.MAXIFS(Inventory_Clean!$L$2:$L$501,Inventory_Clean!$F$2:$F$501,$F34)</f>
        <v/>
      </c>
    </row>
    <row r="35">
      <c r="F35" s="76" t="inlineStr">
        <is>
          <t>Frappes</t>
        </is>
      </c>
      <c r="G35" s="84">
        <f>IFERROR(AVERAGEIFS(Inventory_Clean!$L$2:$L$501,Inventory_Clean!$F$2:$F$501,$F35),0)</f>
        <v/>
      </c>
      <c r="H35" s="85">
        <f>_xlfn.MINIFS(Inventory_Clean!$L$2:$L$501,Inventory_Clean!$F$2:$F$501,$F35)</f>
        <v/>
      </c>
      <c r="I35" s="85">
        <f>_xlfn.MAXIFS(Inventory_Clean!$L$2:$L$501,Inventory_Clean!$F$2:$F$501,$F35)</f>
        <v/>
      </c>
    </row>
    <row r="36">
      <c r="F36" s="76" t="inlineStr">
        <is>
          <t>Sides</t>
        </is>
      </c>
      <c r="G36" s="84">
        <f>IFERROR(AVERAGEIFS(Inventory_Clean!$L$2:$L$501,Inventory_Clean!$F$2:$F$501,$F36),0)</f>
        <v/>
      </c>
      <c r="H36" s="85">
        <f>_xlfn.MINIFS(Inventory_Clean!$L$2:$L$501,Inventory_Clean!$F$2:$F$501,$F36)</f>
        <v/>
      </c>
      <c r="I36" s="85">
        <f>_xlfn.MAXIFS(Inventory_Clean!$L$2:$L$501,Inventory_Clean!$F$2:$F$501,$F36)</f>
        <v/>
      </c>
    </row>
    <row r="37">
      <c r="F37" s="80" t="inlineStr">
        <is>
          <t>Grand Total</t>
        </is>
      </c>
      <c r="G37" s="86">
        <f>AVERAGE(Inventory_Clean!$L$2:$L$501)</f>
        <v/>
      </c>
      <c r="H37" s="87">
        <f>MIN(Inventory_Clean!$L$2:$L$501)</f>
        <v/>
      </c>
      <c r="I37" s="87">
        <f>MAX(Inventory_Clean!$L$2:$L$501)</f>
        <v/>
      </c>
    </row>
    <row r="40">
      <c r="B40" s="72" t="inlineStr">
        <is>
          <t>2 · Units Sold by Product</t>
        </is>
      </c>
      <c r="G40" s="72" t="inlineStr">
        <is>
          <t>4 · Wastage by Product</t>
        </is>
      </c>
      <c r="K40" s="72" t="inlineStr">
        <is>
          <t>6 · Reorder Status by Product</t>
        </is>
      </c>
      <c r="Q40" s="72" t="inlineStr">
        <is>
          <t>Top 10 Products by Units Sold (dynamic)</t>
        </is>
      </c>
    </row>
    <row r="41" ht="30" customHeight="1">
      <c r="B41" s="73" t="inlineStr">
        <is>
          <t>Product</t>
        </is>
      </c>
      <c r="C41" s="74" t="inlineStr">
        <is>
          <t>Category</t>
        </is>
      </c>
      <c r="D41" s="74" t="inlineStr">
        <is>
          <t>Units Sold</t>
        </is>
      </c>
      <c r="E41" s="74" t="inlineStr">
        <is>
          <t>rank key</t>
        </is>
      </c>
      <c r="G41" s="73" t="inlineStr">
        <is>
          <t>Product</t>
        </is>
      </c>
      <c r="H41" s="74" t="inlineStr">
        <is>
          <t>Wastage (units)</t>
        </is>
      </c>
      <c r="I41" s="74" t="inlineStr">
        <is>
          <t>Wastage %</t>
        </is>
      </c>
      <c r="J41" s="74" t="inlineStr">
        <is>
          <t>rank key</t>
        </is>
      </c>
      <c r="K41" s="73" t="inlineStr">
        <is>
          <t>Product</t>
        </is>
      </c>
      <c r="L41" s="74" t="inlineStr">
        <is>
          <t>Reorder Required</t>
        </is>
      </c>
      <c r="M41" s="74" t="inlineStr">
        <is>
          <t>Stock Sufficient</t>
        </is>
      </c>
      <c r="N41" s="74" t="inlineStr">
        <is>
          <t>% Reorder</t>
        </is>
      </c>
      <c r="O41" s="74" t="inlineStr">
        <is>
          <t>rank key</t>
        </is>
      </c>
      <c r="Q41" s="88" t="inlineStr">
        <is>
          <t>Rank</t>
        </is>
      </c>
      <c r="R41" s="88" t="inlineStr">
        <is>
          <t>Product</t>
        </is>
      </c>
      <c r="S41" s="88" t="inlineStr">
        <is>
          <t>Units Sold</t>
        </is>
      </c>
    </row>
    <row r="42">
      <c r="B42" s="76" t="inlineStr">
        <is>
          <t>Product 16</t>
        </is>
      </c>
      <c r="C42" s="89">
        <f>INDEX(Inventory_Clean!$F$2:$F$501,MATCH($B42,Inventory_Clean!$E$2:$E$501,0))</f>
        <v/>
      </c>
      <c r="D42" s="77">
        <f>SUMIFS(Inventory_Clean!$I$2:$I$501,Inventory_Clean!$E$2:$E$501,$B42)</f>
        <v/>
      </c>
      <c r="E42" s="90">
        <f>D42+ROW()/1000000</f>
        <v/>
      </c>
      <c r="G42" s="76" t="inlineStr">
        <is>
          <t>Product 30</t>
        </is>
      </c>
      <c r="H42" s="77">
        <f>SUMIFS(Inventory_Clean!$J$2:$J$501,Inventory_Clean!$E$2:$E$501,$G42)</f>
        <v/>
      </c>
      <c r="I42" s="79">
        <f>IFERROR(SUMIFS(Inventory_Clean!$J$2:$J$501,Inventory_Clean!$E$2:$E$501,$G42)/SUMIFS(Inventory_Clean!$O$2:$O$501,Inventory_Clean!$E$2:$E$501,$G42),0)</f>
        <v/>
      </c>
      <c r="J42" s="90">
        <f>H42+ROW()/1000000</f>
        <v/>
      </c>
      <c r="K42" s="76" t="inlineStr">
        <is>
          <t>Product 42</t>
        </is>
      </c>
      <c r="L42" s="77">
        <f>COUNTIFS(Inventory_Clean!$E$2:$E$501,$K42,Inventory_Clean!$U$2:$U$501,"Reorder Required")</f>
        <v/>
      </c>
      <c r="M42" s="77">
        <f>COUNTIFS(Inventory_Clean!$E$2:$E$501,$K42,Inventory_Clean!$U$2:$U$501,"Stock Sufficient")</f>
        <v/>
      </c>
      <c r="N42" s="91">
        <f>IFERROR(L42/(L42+M42),0)</f>
        <v/>
      </c>
      <c r="O42" s="90">
        <f>L42+ROW()/1000000</f>
        <v/>
      </c>
      <c r="Q42" s="89" t="n">
        <v>1</v>
      </c>
      <c r="R42" s="76">
        <f>INDEX($B$42:$B$91,MATCH(LARGE($E$42:$E$91,Q42),$E$42:$E$91,0))</f>
        <v/>
      </c>
      <c r="S42" s="77">
        <f>INDEX($D$42:$D$91,MATCH(LARGE($E$42:$E$91,Q42),$E$42:$E$91,0))</f>
        <v/>
      </c>
    </row>
    <row r="43">
      <c r="B43" s="76" t="inlineStr">
        <is>
          <t>Product 26</t>
        </is>
      </c>
      <c r="C43" s="89">
        <f>INDEX(Inventory_Clean!$F$2:$F$501,MATCH($B43,Inventory_Clean!$E$2:$E$501,0))</f>
        <v/>
      </c>
      <c r="D43" s="77">
        <f>SUMIFS(Inventory_Clean!$I$2:$I$501,Inventory_Clean!$E$2:$E$501,$B43)</f>
        <v/>
      </c>
      <c r="E43" s="90">
        <f>D43+ROW()/1000000</f>
        <v/>
      </c>
      <c r="G43" s="76" t="inlineStr">
        <is>
          <t>Product 31</t>
        </is>
      </c>
      <c r="H43" s="77">
        <f>SUMIFS(Inventory_Clean!$J$2:$J$501,Inventory_Clean!$E$2:$E$501,$G43)</f>
        <v/>
      </c>
      <c r="I43" s="79">
        <f>IFERROR(SUMIFS(Inventory_Clean!$J$2:$J$501,Inventory_Clean!$E$2:$E$501,$G43)/SUMIFS(Inventory_Clean!$O$2:$O$501,Inventory_Clean!$E$2:$E$501,$G43),0)</f>
        <v/>
      </c>
      <c r="J43" s="90">
        <f>H43+ROW()/1000000</f>
        <v/>
      </c>
      <c r="K43" s="76" t="inlineStr">
        <is>
          <t>Product 44</t>
        </is>
      </c>
      <c r="L43" s="77">
        <f>COUNTIFS(Inventory_Clean!$E$2:$E$501,$K43,Inventory_Clean!$U$2:$U$501,"Reorder Required")</f>
        <v/>
      </c>
      <c r="M43" s="77">
        <f>COUNTIFS(Inventory_Clean!$E$2:$E$501,$K43,Inventory_Clean!$U$2:$U$501,"Stock Sufficient")</f>
        <v/>
      </c>
      <c r="N43" s="91">
        <f>IFERROR(L43/(L43+M43),0)</f>
        <v/>
      </c>
      <c r="O43" s="90">
        <f>L43+ROW()/1000000</f>
        <v/>
      </c>
      <c r="Q43" s="89" t="n">
        <v>2</v>
      </c>
      <c r="R43" s="76">
        <f>INDEX($B$42:$B$91,MATCH(LARGE($E$42:$E$91,Q43),$E$42:$E$91,0))</f>
        <v/>
      </c>
      <c r="S43" s="77">
        <f>INDEX($D$42:$D$91,MATCH(LARGE($E$42:$E$91,Q43),$E$42:$E$91,0))</f>
        <v/>
      </c>
    </row>
    <row r="44">
      <c r="B44" s="76" t="inlineStr">
        <is>
          <t>Product 20</t>
        </is>
      </c>
      <c r="C44" s="89">
        <f>INDEX(Inventory_Clean!$F$2:$F$501,MATCH($B44,Inventory_Clean!$E$2:$E$501,0))</f>
        <v/>
      </c>
      <c r="D44" s="77">
        <f>SUMIFS(Inventory_Clean!$I$2:$I$501,Inventory_Clean!$E$2:$E$501,$B44)</f>
        <v/>
      </c>
      <c r="E44" s="90">
        <f>D44+ROW()/1000000</f>
        <v/>
      </c>
      <c r="G44" s="76" t="inlineStr">
        <is>
          <t>Product 33</t>
        </is>
      </c>
      <c r="H44" s="77">
        <f>SUMIFS(Inventory_Clean!$J$2:$J$501,Inventory_Clean!$E$2:$E$501,$G44)</f>
        <v/>
      </c>
      <c r="I44" s="79">
        <f>IFERROR(SUMIFS(Inventory_Clean!$J$2:$J$501,Inventory_Clean!$E$2:$E$501,$G44)/SUMIFS(Inventory_Clean!$O$2:$O$501,Inventory_Clean!$E$2:$E$501,$G44),0)</f>
        <v/>
      </c>
      <c r="J44" s="90">
        <f>H44+ROW()/1000000</f>
        <v/>
      </c>
      <c r="K44" s="76" t="inlineStr">
        <is>
          <t>Product 1</t>
        </is>
      </c>
      <c r="L44" s="77">
        <f>COUNTIFS(Inventory_Clean!$E$2:$E$501,$K44,Inventory_Clean!$U$2:$U$501,"Reorder Required")</f>
        <v/>
      </c>
      <c r="M44" s="77">
        <f>COUNTIFS(Inventory_Clean!$E$2:$E$501,$K44,Inventory_Clean!$U$2:$U$501,"Stock Sufficient")</f>
        <v/>
      </c>
      <c r="N44" s="91">
        <f>IFERROR(L44/(L44+M44),0)</f>
        <v/>
      </c>
      <c r="O44" s="90">
        <f>L44+ROW()/1000000</f>
        <v/>
      </c>
      <c r="Q44" s="89" t="n">
        <v>3</v>
      </c>
      <c r="R44" s="76">
        <f>INDEX($B$42:$B$91,MATCH(LARGE($E$42:$E$91,Q44),$E$42:$E$91,0))</f>
        <v/>
      </c>
      <c r="S44" s="77">
        <f>INDEX($D$42:$D$91,MATCH(LARGE($E$42:$E$91,Q44),$E$42:$E$91,0))</f>
        <v/>
      </c>
    </row>
    <row r="45">
      <c r="B45" s="76" t="inlineStr">
        <is>
          <t>Product 9</t>
        </is>
      </c>
      <c r="C45" s="89">
        <f>INDEX(Inventory_Clean!$F$2:$F$501,MATCH($B45,Inventory_Clean!$E$2:$E$501,0))</f>
        <v/>
      </c>
      <c r="D45" s="77">
        <f>SUMIFS(Inventory_Clean!$I$2:$I$501,Inventory_Clean!$E$2:$E$501,$B45)</f>
        <v/>
      </c>
      <c r="E45" s="90">
        <f>D45+ROW()/1000000</f>
        <v/>
      </c>
      <c r="G45" s="76" t="inlineStr">
        <is>
          <t>Product 39</t>
        </is>
      </c>
      <c r="H45" s="77">
        <f>SUMIFS(Inventory_Clean!$J$2:$J$501,Inventory_Clean!$E$2:$E$501,$G45)</f>
        <v/>
      </c>
      <c r="I45" s="79">
        <f>IFERROR(SUMIFS(Inventory_Clean!$J$2:$J$501,Inventory_Clean!$E$2:$E$501,$G45)/SUMIFS(Inventory_Clean!$O$2:$O$501,Inventory_Clean!$E$2:$E$501,$G45),0)</f>
        <v/>
      </c>
      <c r="J45" s="90">
        <f>H45+ROW()/1000000</f>
        <v/>
      </c>
      <c r="K45" s="76" t="inlineStr">
        <is>
          <t>Product 20</t>
        </is>
      </c>
      <c r="L45" s="77">
        <f>COUNTIFS(Inventory_Clean!$E$2:$E$501,$K45,Inventory_Clean!$U$2:$U$501,"Reorder Required")</f>
        <v/>
      </c>
      <c r="M45" s="77">
        <f>COUNTIFS(Inventory_Clean!$E$2:$E$501,$K45,Inventory_Clean!$U$2:$U$501,"Stock Sufficient")</f>
        <v/>
      </c>
      <c r="N45" s="91">
        <f>IFERROR(L45/(L45+M45),0)</f>
        <v/>
      </c>
      <c r="O45" s="90">
        <f>L45+ROW()/1000000</f>
        <v/>
      </c>
      <c r="Q45" s="89" t="n">
        <v>4</v>
      </c>
      <c r="R45" s="76">
        <f>INDEX($B$42:$B$91,MATCH(LARGE($E$42:$E$91,Q45),$E$42:$E$91,0))</f>
        <v/>
      </c>
      <c r="S45" s="77">
        <f>INDEX($D$42:$D$91,MATCH(LARGE($E$42:$E$91,Q45),$E$42:$E$91,0))</f>
        <v/>
      </c>
    </row>
    <row r="46">
      <c r="B46" s="76" t="inlineStr">
        <is>
          <t>Product 37</t>
        </is>
      </c>
      <c r="C46" s="89">
        <f>INDEX(Inventory_Clean!$F$2:$F$501,MATCH($B46,Inventory_Clean!$E$2:$E$501,0))</f>
        <v/>
      </c>
      <c r="D46" s="77">
        <f>SUMIFS(Inventory_Clean!$I$2:$I$501,Inventory_Clean!$E$2:$E$501,$B46)</f>
        <v/>
      </c>
      <c r="E46" s="90">
        <f>D46+ROW()/1000000</f>
        <v/>
      </c>
      <c r="G46" s="76" t="inlineStr">
        <is>
          <t>Product 34</t>
        </is>
      </c>
      <c r="H46" s="77">
        <f>SUMIFS(Inventory_Clean!$J$2:$J$501,Inventory_Clean!$E$2:$E$501,$G46)</f>
        <v/>
      </c>
      <c r="I46" s="79">
        <f>IFERROR(SUMIFS(Inventory_Clean!$J$2:$J$501,Inventory_Clean!$E$2:$E$501,$G46)/SUMIFS(Inventory_Clean!$O$2:$O$501,Inventory_Clean!$E$2:$E$501,$G46),0)</f>
        <v/>
      </c>
      <c r="J46" s="90">
        <f>H46+ROW()/1000000</f>
        <v/>
      </c>
      <c r="K46" s="76" t="inlineStr">
        <is>
          <t>Product 23</t>
        </is>
      </c>
      <c r="L46" s="77">
        <f>COUNTIFS(Inventory_Clean!$E$2:$E$501,$K46,Inventory_Clean!$U$2:$U$501,"Reorder Required")</f>
        <v/>
      </c>
      <c r="M46" s="77">
        <f>COUNTIFS(Inventory_Clean!$E$2:$E$501,$K46,Inventory_Clean!$U$2:$U$501,"Stock Sufficient")</f>
        <v/>
      </c>
      <c r="N46" s="91">
        <f>IFERROR(L46/(L46+M46),0)</f>
        <v/>
      </c>
      <c r="O46" s="90">
        <f>L46+ROW()/1000000</f>
        <v/>
      </c>
      <c r="Q46" s="89" t="n">
        <v>5</v>
      </c>
      <c r="R46" s="76">
        <f>INDEX($B$42:$B$91,MATCH(LARGE($E$42:$E$91,Q46),$E$42:$E$91,0))</f>
        <v/>
      </c>
      <c r="S46" s="77">
        <f>INDEX($D$42:$D$91,MATCH(LARGE($E$42:$E$91,Q46),$E$42:$E$91,0))</f>
        <v/>
      </c>
    </row>
    <row r="47">
      <c r="B47" s="76" t="inlineStr">
        <is>
          <t>Product 47</t>
        </is>
      </c>
      <c r="C47" s="89">
        <f>INDEX(Inventory_Clean!$F$2:$F$501,MATCH($B47,Inventory_Clean!$E$2:$E$501,0))</f>
        <v/>
      </c>
      <c r="D47" s="77">
        <f>SUMIFS(Inventory_Clean!$I$2:$I$501,Inventory_Clean!$E$2:$E$501,$B47)</f>
        <v/>
      </c>
      <c r="E47" s="90">
        <f>D47+ROW()/1000000</f>
        <v/>
      </c>
      <c r="G47" s="76" t="inlineStr">
        <is>
          <t>Product 36</t>
        </is>
      </c>
      <c r="H47" s="77">
        <f>SUMIFS(Inventory_Clean!$J$2:$J$501,Inventory_Clean!$E$2:$E$501,$G47)</f>
        <v/>
      </c>
      <c r="I47" s="79">
        <f>IFERROR(SUMIFS(Inventory_Clean!$J$2:$J$501,Inventory_Clean!$E$2:$E$501,$G47)/SUMIFS(Inventory_Clean!$O$2:$O$501,Inventory_Clean!$E$2:$E$501,$G47),0)</f>
        <v/>
      </c>
      <c r="J47" s="90">
        <f>H47+ROW()/1000000</f>
        <v/>
      </c>
      <c r="K47" s="76" t="inlineStr">
        <is>
          <t>Product 16</t>
        </is>
      </c>
      <c r="L47" s="77">
        <f>COUNTIFS(Inventory_Clean!$E$2:$E$501,$K47,Inventory_Clean!$U$2:$U$501,"Reorder Required")</f>
        <v/>
      </c>
      <c r="M47" s="77">
        <f>COUNTIFS(Inventory_Clean!$E$2:$E$501,$K47,Inventory_Clean!$U$2:$U$501,"Stock Sufficient")</f>
        <v/>
      </c>
      <c r="N47" s="91">
        <f>IFERROR(L47/(L47+M47),0)</f>
        <v/>
      </c>
      <c r="O47" s="90">
        <f>L47+ROW()/1000000</f>
        <v/>
      </c>
      <c r="Q47" s="89" t="n">
        <v>6</v>
      </c>
      <c r="R47" s="76">
        <f>INDEX($B$42:$B$91,MATCH(LARGE($E$42:$E$91,Q47),$E$42:$E$91,0))</f>
        <v/>
      </c>
      <c r="S47" s="77">
        <f>INDEX($D$42:$D$91,MATCH(LARGE($E$42:$E$91,Q47),$E$42:$E$91,0))</f>
        <v/>
      </c>
    </row>
    <row r="48">
      <c r="B48" s="76" t="inlineStr">
        <is>
          <t>Product 1</t>
        </is>
      </c>
      <c r="C48" s="89">
        <f>INDEX(Inventory_Clean!$F$2:$F$501,MATCH($B48,Inventory_Clean!$E$2:$E$501,0))</f>
        <v/>
      </c>
      <c r="D48" s="77">
        <f>SUMIFS(Inventory_Clean!$I$2:$I$501,Inventory_Clean!$E$2:$E$501,$B48)</f>
        <v/>
      </c>
      <c r="E48" s="90">
        <f>D48+ROW()/1000000</f>
        <v/>
      </c>
      <c r="G48" s="76" t="inlineStr">
        <is>
          <t>Product 32</t>
        </is>
      </c>
      <c r="H48" s="77">
        <f>SUMIFS(Inventory_Clean!$J$2:$J$501,Inventory_Clean!$E$2:$E$501,$G48)</f>
        <v/>
      </c>
      <c r="I48" s="79">
        <f>IFERROR(SUMIFS(Inventory_Clean!$J$2:$J$501,Inventory_Clean!$E$2:$E$501,$G48)/SUMIFS(Inventory_Clean!$O$2:$O$501,Inventory_Clean!$E$2:$E$501,$G48),0)</f>
        <v/>
      </c>
      <c r="J48" s="90">
        <f>H48+ROW()/1000000</f>
        <v/>
      </c>
      <c r="K48" s="76" t="inlineStr">
        <is>
          <t>Product 43</t>
        </is>
      </c>
      <c r="L48" s="77">
        <f>COUNTIFS(Inventory_Clean!$E$2:$E$501,$K48,Inventory_Clean!$U$2:$U$501,"Reorder Required")</f>
        <v/>
      </c>
      <c r="M48" s="77">
        <f>COUNTIFS(Inventory_Clean!$E$2:$E$501,$K48,Inventory_Clean!$U$2:$U$501,"Stock Sufficient")</f>
        <v/>
      </c>
      <c r="N48" s="91">
        <f>IFERROR(L48/(L48+M48),0)</f>
        <v/>
      </c>
      <c r="O48" s="90">
        <f>L48+ROW()/1000000</f>
        <v/>
      </c>
      <c r="Q48" s="89" t="n">
        <v>7</v>
      </c>
      <c r="R48" s="76">
        <f>INDEX($B$42:$B$91,MATCH(LARGE($E$42:$E$91,Q48),$E$42:$E$91,0))</f>
        <v/>
      </c>
      <c r="S48" s="77">
        <f>INDEX($D$42:$D$91,MATCH(LARGE($E$42:$E$91,Q48),$E$42:$E$91,0))</f>
        <v/>
      </c>
    </row>
    <row r="49">
      <c r="B49" s="76" t="inlineStr">
        <is>
          <t>Product 27</t>
        </is>
      </c>
      <c r="C49" s="89">
        <f>INDEX(Inventory_Clean!$F$2:$F$501,MATCH($B49,Inventory_Clean!$E$2:$E$501,0))</f>
        <v/>
      </c>
      <c r="D49" s="77">
        <f>SUMIFS(Inventory_Clean!$I$2:$I$501,Inventory_Clean!$E$2:$E$501,$B49)</f>
        <v/>
      </c>
      <c r="E49" s="90">
        <f>D49+ROW()/1000000</f>
        <v/>
      </c>
      <c r="G49" s="76" t="inlineStr">
        <is>
          <t>Product 40</t>
        </is>
      </c>
      <c r="H49" s="77">
        <f>SUMIFS(Inventory_Clean!$J$2:$J$501,Inventory_Clean!$E$2:$E$501,$G49)</f>
        <v/>
      </c>
      <c r="I49" s="79">
        <f>IFERROR(SUMIFS(Inventory_Clean!$J$2:$J$501,Inventory_Clean!$E$2:$E$501,$G49)/SUMIFS(Inventory_Clean!$O$2:$O$501,Inventory_Clean!$E$2:$E$501,$G49),0)</f>
        <v/>
      </c>
      <c r="J49" s="90">
        <f>H49+ROW()/1000000</f>
        <v/>
      </c>
      <c r="K49" s="76" t="inlineStr">
        <is>
          <t>Product 26</t>
        </is>
      </c>
      <c r="L49" s="77">
        <f>COUNTIFS(Inventory_Clean!$E$2:$E$501,$K49,Inventory_Clean!$U$2:$U$501,"Reorder Required")</f>
        <v/>
      </c>
      <c r="M49" s="77">
        <f>COUNTIFS(Inventory_Clean!$E$2:$E$501,$K49,Inventory_Clean!$U$2:$U$501,"Stock Sufficient")</f>
        <v/>
      </c>
      <c r="N49" s="91">
        <f>IFERROR(L49/(L49+M49),0)</f>
        <v/>
      </c>
      <c r="O49" s="90">
        <f>L49+ROW()/1000000</f>
        <v/>
      </c>
      <c r="Q49" s="89" t="n">
        <v>8</v>
      </c>
      <c r="R49" s="76">
        <f>INDEX($B$42:$B$91,MATCH(LARGE($E$42:$E$91,Q49),$E$42:$E$91,0))</f>
        <v/>
      </c>
      <c r="S49" s="77">
        <f>INDEX($D$42:$D$91,MATCH(LARGE($E$42:$E$91,Q49),$E$42:$E$91,0))</f>
        <v/>
      </c>
    </row>
    <row r="50">
      <c r="B50" s="76" t="inlineStr">
        <is>
          <t>Product 42</t>
        </is>
      </c>
      <c r="C50" s="89">
        <f>INDEX(Inventory_Clean!$F$2:$F$501,MATCH($B50,Inventory_Clean!$E$2:$E$501,0))</f>
        <v/>
      </c>
      <c r="D50" s="77">
        <f>SUMIFS(Inventory_Clean!$I$2:$I$501,Inventory_Clean!$E$2:$E$501,$B50)</f>
        <v/>
      </c>
      <c r="E50" s="90">
        <f>D50+ROW()/1000000</f>
        <v/>
      </c>
      <c r="G50" s="76" t="inlineStr">
        <is>
          <t>Product 35</t>
        </is>
      </c>
      <c r="H50" s="77">
        <f>SUMIFS(Inventory_Clean!$J$2:$J$501,Inventory_Clean!$E$2:$E$501,$G50)</f>
        <v/>
      </c>
      <c r="I50" s="79">
        <f>IFERROR(SUMIFS(Inventory_Clean!$J$2:$J$501,Inventory_Clean!$E$2:$E$501,$G50)/SUMIFS(Inventory_Clean!$O$2:$O$501,Inventory_Clean!$E$2:$E$501,$G50),0)</f>
        <v/>
      </c>
      <c r="J50" s="90">
        <f>H50+ROW()/1000000</f>
        <v/>
      </c>
      <c r="K50" s="76" t="inlineStr">
        <is>
          <t>Product 9</t>
        </is>
      </c>
      <c r="L50" s="77">
        <f>COUNTIFS(Inventory_Clean!$E$2:$E$501,$K50,Inventory_Clean!$U$2:$U$501,"Reorder Required")</f>
        <v/>
      </c>
      <c r="M50" s="77">
        <f>COUNTIFS(Inventory_Clean!$E$2:$E$501,$K50,Inventory_Clean!$U$2:$U$501,"Stock Sufficient")</f>
        <v/>
      </c>
      <c r="N50" s="91">
        <f>IFERROR(L50/(L50+M50),0)</f>
        <v/>
      </c>
      <c r="O50" s="90">
        <f>L50+ROW()/1000000</f>
        <v/>
      </c>
      <c r="Q50" s="89" t="n">
        <v>9</v>
      </c>
      <c r="R50" s="76">
        <f>INDEX($B$42:$B$91,MATCH(LARGE($E$42:$E$91,Q50),$E$42:$E$91,0))</f>
        <v/>
      </c>
      <c r="S50" s="77">
        <f>INDEX($D$42:$D$91,MATCH(LARGE($E$42:$E$91,Q50),$E$42:$E$91,0))</f>
        <v/>
      </c>
    </row>
    <row r="51">
      <c r="B51" s="76" t="inlineStr">
        <is>
          <t>Product 11</t>
        </is>
      </c>
      <c r="C51" s="89">
        <f>INDEX(Inventory_Clean!$F$2:$F$501,MATCH($B51,Inventory_Clean!$E$2:$E$501,0))</f>
        <v/>
      </c>
      <c r="D51" s="77">
        <f>SUMIFS(Inventory_Clean!$I$2:$I$501,Inventory_Clean!$E$2:$E$501,$B51)</f>
        <v/>
      </c>
      <c r="E51" s="90">
        <f>D51+ROW()/1000000</f>
        <v/>
      </c>
      <c r="G51" s="76" t="inlineStr">
        <is>
          <t>Product 37</t>
        </is>
      </c>
      <c r="H51" s="77">
        <f>SUMIFS(Inventory_Clean!$J$2:$J$501,Inventory_Clean!$E$2:$E$501,$G51)</f>
        <v/>
      </c>
      <c r="I51" s="79">
        <f>IFERROR(SUMIFS(Inventory_Clean!$J$2:$J$501,Inventory_Clean!$E$2:$E$501,$G51)/SUMIFS(Inventory_Clean!$O$2:$O$501,Inventory_Clean!$E$2:$E$501,$G51),0)</f>
        <v/>
      </c>
      <c r="J51" s="90">
        <f>H51+ROW()/1000000</f>
        <v/>
      </c>
      <c r="K51" s="76" t="inlineStr">
        <is>
          <t>Product 40</t>
        </is>
      </c>
      <c r="L51" s="77">
        <f>COUNTIFS(Inventory_Clean!$E$2:$E$501,$K51,Inventory_Clean!$U$2:$U$501,"Reorder Required")</f>
        <v/>
      </c>
      <c r="M51" s="77">
        <f>COUNTIFS(Inventory_Clean!$E$2:$E$501,$K51,Inventory_Clean!$U$2:$U$501,"Stock Sufficient")</f>
        <v/>
      </c>
      <c r="N51" s="91">
        <f>IFERROR(L51/(L51+M51),0)</f>
        <v/>
      </c>
      <c r="O51" s="90">
        <f>L51+ROW()/1000000</f>
        <v/>
      </c>
      <c r="Q51" s="89" t="n">
        <v>10</v>
      </c>
      <c r="R51" s="76">
        <f>INDEX($B$42:$B$91,MATCH(LARGE($E$42:$E$91,Q51),$E$42:$E$91,0))</f>
        <v/>
      </c>
      <c r="S51" s="77">
        <f>INDEX($D$42:$D$91,MATCH(LARGE($E$42:$E$91,Q51),$E$42:$E$91,0))</f>
        <v/>
      </c>
    </row>
    <row r="52">
      <c r="B52" s="76" t="inlineStr">
        <is>
          <t>Product 49</t>
        </is>
      </c>
      <c r="C52" s="89">
        <f>INDEX(Inventory_Clean!$F$2:$F$501,MATCH($B52,Inventory_Clean!$E$2:$E$501,0))</f>
        <v/>
      </c>
      <c r="D52" s="77">
        <f>SUMIFS(Inventory_Clean!$I$2:$I$501,Inventory_Clean!$E$2:$E$501,$B52)</f>
        <v/>
      </c>
      <c r="E52" s="90">
        <f>D52+ROW()/1000000</f>
        <v/>
      </c>
      <c r="G52" s="76" t="inlineStr">
        <is>
          <t>Product 38</t>
        </is>
      </c>
      <c r="H52" s="77">
        <f>SUMIFS(Inventory_Clean!$J$2:$J$501,Inventory_Clean!$E$2:$E$501,$G52)</f>
        <v/>
      </c>
      <c r="I52" s="79">
        <f>IFERROR(SUMIFS(Inventory_Clean!$J$2:$J$501,Inventory_Clean!$E$2:$E$501,$G52)/SUMIFS(Inventory_Clean!$O$2:$O$501,Inventory_Clean!$E$2:$E$501,$G52),0)</f>
        <v/>
      </c>
      <c r="J52" s="90">
        <f>H52+ROW()/1000000</f>
        <v/>
      </c>
      <c r="K52" s="76" t="inlineStr">
        <is>
          <t>Product 49</t>
        </is>
      </c>
      <c r="L52" s="77">
        <f>COUNTIFS(Inventory_Clean!$E$2:$E$501,$K52,Inventory_Clean!$U$2:$U$501,"Reorder Required")</f>
        <v/>
      </c>
      <c r="M52" s="77">
        <f>COUNTIFS(Inventory_Clean!$E$2:$E$501,$K52,Inventory_Clean!$U$2:$U$501,"Stock Sufficient")</f>
        <v/>
      </c>
      <c r="N52" s="91">
        <f>IFERROR(L52/(L52+M52),0)</f>
        <v/>
      </c>
      <c r="O52" s="90">
        <f>L52+ROW()/1000000</f>
        <v/>
      </c>
    </row>
    <row r="53">
      <c r="B53" s="76" t="inlineStr">
        <is>
          <t>Product 44</t>
        </is>
      </c>
      <c r="C53" s="89">
        <f>INDEX(Inventory_Clean!$F$2:$F$501,MATCH($B53,Inventory_Clean!$E$2:$E$501,0))</f>
        <v/>
      </c>
      <c r="D53" s="77">
        <f>SUMIFS(Inventory_Clean!$I$2:$I$501,Inventory_Clean!$E$2:$E$501,$B53)</f>
        <v/>
      </c>
      <c r="E53" s="90">
        <f>D53+ROW()/1000000</f>
        <v/>
      </c>
      <c r="G53" s="76" t="inlineStr">
        <is>
          <t>Product 12</t>
        </is>
      </c>
      <c r="H53" s="77">
        <f>SUMIFS(Inventory_Clean!$J$2:$J$501,Inventory_Clean!$E$2:$E$501,$G53)</f>
        <v/>
      </c>
      <c r="I53" s="79">
        <f>IFERROR(SUMIFS(Inventory_Clean!$J$2:$J$501,Inventory_Clean!$E$2:$E$501,$G53)/SUMIFS(Inventory_Clean!$O$2:$O$501,Inventory_Clean!$E$2:$E$501,$G53),0)</f>
        <v/>
      </c>
      <c r="J53" s="90">
        <f>H53+ROW()/1000000</f>
        <v/>
      </c>
      <c r="K53" s="76" t="inlineStr">
        <is>
          <t>Product 25</t>
        </is>
      </c>
      <c r="L53" s="77">
        <f>COUNTIFS(Inventory_Clean!$E$2:$E$501,$K53,Inventory_Clean!$U$2:$U$501,"Reorder Required")</f>
        <v/>
      </c>
      <c r="M53" s="77">
        <f>COUNTIFS(Inventory_Clean!$E$2:$E$501,$K53,Inventory_Clean!$U$2:$U$501,"Stock Sufficient")</f>
        <v/>
      </c>
      <c r="N53" s="91">
        <f>IFERROR(L53/(L53+M53),0)</f>
        <v/>
      </c>
      <c r="O53" s="90">
        <f>L53+ROW()/1000000</f>
        <v/>
      </c>
    </row>
    <row r="54">
      <c r="B54" s="76" t="inlineStr">
        <is>
          <t>Product 43</t>
        </is>
      </c>
      <c r="C54" s="89">
        <f>INDEX(Inventory_Clean!$F$2:$F$501,MATCH($B54,Inventory_Clean!$E$2:$E$501,0))</f>
        <v/>
      </c>
      <c r="D54" s="77">
        <f>SUMIFS(Inventory_Clean!$I$2:$I$501,Inventory_Clean!$E$2:$E$501,$B54)</f>
        <v/>
      </c>
      <c r="E54" s="90">
        <f>D54+ROW()/1000000</f>
        <v/>
      </c>
      <c r="G54" s="76" t="inlineStr">
        <is>
          <t>Product 44</t>
        </is>
      </c>
      <c r="H54" s="77">
        <f>SUMIFS(Inventory_Clean!$J$2:$J$501,Inventory_Clean!$E$2:$E$501,$G54)</f>
        <v/>
      </c>
      <c r="I54" s="79">
        <f>IFERROR(SUMIFS(Inventory_Clean!$J$2:$J$501,Inventory_Clean!$E$2:$E$501,$G54)/SUMIFS(Inventory_Clean!$O$2:$O$501,Inventory_Clean!$E$2:$E$501,$G54),0)</f>
        <v/>
      </c>
      <c r="J54" s="90">
        <f>H54+ROW()/1000000</f>
        <v/>
      </c>
      <c r="K54" s="76" t="inlineStr">
        <is>
          <t>Product 10</t>
        </is>
      </c>
      <c r="L54" s="77">
        <f>COUNTIFS(Inventory_Clean!$E$2:$E$501,$K54,Inventory_Clean!$U$2:$U$501,"Reorder Required")</f>
        <v/>
      </c>
      <c r="M54" s="77">
        <f>COUNTIFS(Inventory_Clean!$E$2:$E$501,$K54,Inventory_Clean!$U$2:$U$501,"Stock Sufficient")</f>
        <v/>
      </c>
      <c r="N54" s="91">
        <f>IFERROR(L54/(L54+M54),0)</f>
        <v/>
      </c>
      <c r="O54" s="90">
        <f>L54+ROW()/1000000</f>
        <v/>
      </c>
    </row>
    <row r="55">
      <c r="B55" s="76" t="inlineStr">
        <is>
          <t>Product 3</t>
        </is>
      </c>
      <c r="C55" s="89">
        <f>INDEX(Inventory_Clean!$F$2:$F$501,MATCH($B55,Inventory_Clean!$E$2:$E$501,0))</f>
        <v/>
      </c>
      <c r="D55" s="77">
        <f>SUMIFS(Inventory_Clean!$I$2:$I$501,Inventory_Clean!$E$2:$E$501,$B55)</f>
        <v/>
      </c>
      <c r="E55" s="90">
        <f>D55+ROW()/1000000</f>
        <v/>
      </c>
      <c r="G55" s="76" t="inlineStr">
        <is>
          <t>Product 25</t>
        </is>
      </c>
      <c r="H55" s="77">
        <f>SUMIFS(Inventory_Clean!$J$2:$J$501,Inventory_Clean!$E$2:$E$501,$G55)</f>
        <v/>
      </c>
      <c r="I55" s="79">
        <f>IFERROR(SUMIFS(Inventory_Clean!$J$2:$J$501,Inventory_Clean!$E$2:$E$501,$G55)/SUMIFS(Inventory_Clean!$O$2:$O$501,Inventory_Clean!$E$2:$E$501,$G55),0)</f>
        <v/>
      </c>
      <c r="J55" s="90">
        <f>H55+ROW()/1000000</f>
        <v/>
      </c>
      <c r="K55" s="76" t="inlineStr">
        <is>
          <t>Product 11</t>
        </is>
      </c>
      <c r="L55" s="77">
        <f>COUNTIFS(Inventory_Clean!$E$2:$E$501,$K55,Inventory_Clean!$U$2:$U$501,"Reorder Required")</f>
        <v/>
      </c>
      <c r="M55" s="77">
        <f>COUNTIFS(Inventory_Clean!$E$2:$E$501,$K55,Inventory_Clean!$U$2:$U$501,"Stock Sufficient")</f>
        <v/>
      </c>
      <c r="N55" s="91">
        <f>IFERROR(L55/(L55+M55),0)</f>
        <v/>
      </c>
      <c r="O55" s="90">
        <f>L55+ROW()/1000000</f>
        <v/>
      </c>
      <c r="Q55" s="72" t="inlineStr">
        <is>
          <t>Reorder Status (all outlet–product lines)</t>
        </is>
      </c>
    </row>
    <row r="56">
      <c r="B56" s="76" t="inlineStr">
        <is>
          <t>Product 7</t>
        </is>
      </c>
      <c r="C56" s="89">
        <f>INDEX(Inventory_Clean!$F$2:$F$501,MATCH($B56,Inventory_Clean!$E$2:$E$501,0))</f>
        <v/>
      </c>
      <c r="D56" s="77">
        <f>SUMIFS(Inventory_Clean!$I$2:$I$501,Inventory_Clean!$E$2:$E$501,$B56)</f>
        <v/>
      </c>
      <c r="E56" s="90">
        <f>D56+ROW()/1000000</f>
        <v/>
      </c>
      <c r="G56" s="76" t="inlineStr">
        <is>
          <t>Product 43</t>
        </is>
      </c>
      <c r="H56" s="77">
        <f>SUMIFS(Inventory_Clean!$J$2:$J$501,Inventory_Clean!$E$2:$E$501,$G56)</f>
        <v/>
      </c>
      <c r="I56" s="79">
        <f>IFERROR(SUMIFS(Inventory_Clean!$J$2:$J$501,Inventory_Clean!$E$2:$E$501,$G56)/SUMIFS(Inventory_Clean!$O$2:$O$501,Inventory_Clean!$E$2:$E$501,$G56),0)</f>
        <v/>
      </c>
      <c r="J56" s="90">
        <f>H56+ROW()/1000000</f>
        <v/>
      </c>
      <c r="K56" s="76" t="inlineStr">
        <is>
          <t>Product 19</t>
        </is>
      </c>
      <c r="L56" s="77">
        <f>COUNTIFS(Inventory_Clean!$E$2:$E$501,$K56,Inventory_Clean!$U$2:$U$501,"Reorder Required")</f>
        <v/>
      </c>
      <c r="M56" s="77">
        <f>COUNTIFS(Inventory_Clean!$E$2:$E$501,$K56,Inventory_Clean!$U$2:$U$501,"Stock Sufficient")</f>
        <v/>
      </c>
      <c r="N56" s="91">
        <f>IFERROR(L56/(L56+M56),0)</f>
        <v/>
      </c>
      <c r="O56" s="90">
        <f>L56+ROW()/1000000</f>
        <v/>
      </c>
      <c r="Q56" s="88" t="inlineStr">
        <is>
          <t>Status</t>
        </is>
      </c>
      <c r="R56" s="88" t="inlineStr">
        <is>
          <t>Lines</t>
        </is>
      </c>
      <c r="S56" s="88" t="inlineStr">
        <is>
          <t>Share</t>
        </is>
      </c>
    </row>
    <row r="57">
      <c r="B57" s="76" t="inlineStr">
        <is>
          <t>Product 32</t>
        </is>
      </c>
      <c r="C57" s="89">
        <f>INDEX(Inventory_Clean!$F$2:$F$501,MATCH($B57,Inventory_Clean!$E$2:$E$501,0))</f>
        <v/>
      </c>
      <c r="D57" s="77">
        <f>SUMIFS(Inventory_Clean!$I$2:$I$501,Inventory_Clean!$E$2:$E$501,$B57)</f>
        <v/>
      </c>
      <c r="E57" s="90">
        <f>D57+ROW()/1000000</f>
        <v/>
      </c>
      <c r="G57" s="76" t="inlineStr">
        <is>
          <t>Product 29</t>
        </is>
      </c>
      <c r="H57" s="77">
        <f>SUMIFS(Inventory_Clean!$J$2:$J$501,Inventory_Clean!$E$2:$E$501,$G57)</f>
        <v/>
      </c>
      <c r="I57" s="79">
        <f>IFERROR(SUMIFS(Inventory_Clean!$J$2:$J$501,Inventory_Clean!$E$2:$E$501,$G57)/SUMIFS(Inventory_Clean!$O$2:$O$501,Inventory_Clean!$E$2:$E$501,$G57),0)</f>
        <v/>
      </c>
      <c r="J57" s="90">
        <f>H57+ROW()/1000000</f>
        <v/>
      </c>
      <c r="K57" s="76" t="inlineStr">
        <is>
          <t>Product 2</t>
        </is>
      </c>
      <c r="L57" s="77">
        <f>COUNTIFS(Inventory_Clean!$E$2:$E$501,$K57,Inventory_Clean!$U$2:$U$501,"Reorder Required")</f>
        <v/>
      </c>
      <c r="M57" s="77">
        <f>COUNTIFS(Inventory_Clean!$E$2:$E$501,$K57,Inventory_Clean!$U$2:$U$501,"Stock Sufficient")</f>
        <v/>
      </c>
      <c r="N57" s="91">
        <f>IFERROR(L57/(L57+M57),0)</f>
        <v/>
      </c>
      <c r="O57" s="90">
        <f>L57+ROW()/1000000</f>
        <v/>
      </c>
      <c r="Q57" s="76" t="inlineStr">
        <is>
          <t>Reorder Required</t>
        </is>
      </c>
      <c r="R57" s="92">
        <f>COUNTIF(Inventory_Clean!$U$2:$U$501,Q57)</f>
        <v/>
      </c>
      <c r="S57" s="93">
        <f>IFERROR(R57/SUM($R$57:$R$58),0)</f>
        <v/>
      </c>
    </row>
    <row r="58">
      <c r="B58" s="76" t="inlineStr">
        <is>
          <t>Product 25</t>
        </is>
      </c>
      <c r="C58" s="89">
        <f>INDEX(Inventory_Clean!$F$2:$F$501,MATCH($B58,Inventory_Clean!$E$2:$E$501,0))</f>
        <v/>
      </c>
      <c r="D58" s="77">
        <f>SUMIFS(Inventory_Clean!$I$2:$I$501,Inventory_Clean!$E$2:$E$501,$B58)</f>
        <v/>
      </c>
      <c r="E58" s="90">
        <f>D58+ROW()/1000000</f>
        <v/>
      </c>
      <c r="G58" s="76" t="inlineStr">
        <is>
          <t>Product 22</t>
        </is>
      </c>
      <c r="H58" s="77">
        <f>SUMIFS(Inventory_Clean!$J$2:$J$501,Inventory_Clean!$E$2:$E$501,$G58)</f>
        <v/>
      </c>
      <c r="I58" s="79">
        <f>IFERROR(SUMIFS(Inventory_Clean!$J$2:$J$501,Inventory_Clean!$E$2:$E$501,$G58)/SUMIFS(Inventory_Clean!$O$2:$O$501,Inventory_Clean!$E$2:$E$501,$G58),0)</f>
        <v/>
      </c>
      <c r="J58" s="90">
        <f>H58+ROW()/1000000</f>
        <v/>
      </c>
      <c r="K58" s="76" t="inlineStr">
        <is>
          <t>Product 17</t>
        </is>
      </c>
      <c r="L58" s="77">
        <f>COUNTIFS(Inventory_Clean!$E$2:$E$501,$K58,Inventory_Clean!$U$2:$U$501,"Reorder Required")</f>
        <v/>
      </c>
      <c r="M58" s="77">
        <f>COUNTIFS(Inventory_Clean!$E$2:$E$501,$K58,Inventory_Clean!$U$2:$U$501,"Stock Sufficient")</f>
        <v/>
      </c>
      <c r="N58" s="91">
        <f>IFERROR(L58/(L58+M58),0)</f>
        <v/>
      </c>
      <c r="O58" s="90">
        <f>L58+ROW()/1000000</f>
        <v/>
      </c>
      <c r="Q58" s="76" t="inlineStr">
        <is>
          <t>Stock Sufficient</t>
        </is>
      </c>
      <c r="R58" s="92">
        <f>COUNTIF(Inventory_Clean!$U$2:$U$501,Q58)</f>
        <v/>
      </c>
      <c r="S58" s="93">
        <f>IFERROR(R58/SUM($R$57:$R$58),0)</f>
        <v/>
      </c>
    </row>
    <row r="59">
      <c r="B59" s="76" t="inlineStr">
        <is>
          <t>Product 34</t>
        </is>
      </c>
      <c r="C59" s="89">
        <f>INDEX(Inventory_Clean!$F$2:$F$501,MATCH($B59,Inventory_Clean!$E$2:$E$501,0))</f>
        <v/>
      </c>
      <c r="D59" s="77">
        <f>SUMIFS(Inventory_Clean!$I$2:$I$501,Inventory_Clean!$E$2:$E$501,$B59)</f>
        <v/>
      </c>
      <c r="E59" s="90">
        <f>D59+ROW()/1000000</f>
        <v/>
      </c>
      <c r="G59" s="76" t="inlineStr">
        <is>
          <t>Product 10</t>
        </is>
      </c>
      <c r="H59" s="77">
        <f>SUMIFS(Inventory_Clean!$J$2:$J$501,Inventory_Clean!$E$2:$E$501,$G59)</f>
        <v/>
      </c>
      <c r="I59" s="79">
        <f>IFERROR(SUMIFS(Inventory_Clean!$J$2:$J$501,Inventory_Clean!$E$2:$E$501,$G59)/SUMIFS(Inventory_Clean!$O$2:$O$501,Inventory_Clean!$E$2:$E$501,$G59),0)</f>
        <v/>
      </c>
      <c r="J59" s="90">
        <f>H59+ROW()/1000000</f>
        <v/>
      </c>
      <c r="K59" s="76" t="inlineStr">
        <is>
          <t>Product 14</t>
        </is>
      </c>
      <c r="L59" s="77">
        <f>COUNTIFS(Inventory_Clean!$E$2:$E$501,$K59,Inventory_Clean!$U$2:$U$501,"Reorder Required")</f>
        <v/>
      </c>
      <c r="M59" s="77">
        <f>COUNTIFS(Inventory_Clean!$E$2:$E$501,$K59,Inventory_Clean!$U$2:$U$501,"Stock Sufficient")</f>
        <v/>
      </c>
      <c r="N59" s="91">
        <f>IFERROR(L59/(L59+M59),0)</f>
        <v/>
      </c>
      <c r="O59" s="90">
        <f>L59+ROW()/1000000</f>
        <v/>
      </c>
      <c r="Q59" s="94" t="inlineStr">
        <is>
          <t>Total</t>
        </is>
      </c>
      <c r="R59" s="94">
        <f>SUM(R57:R58)</f>
        <v/>
      </c>
    </row>
    <row r="60">
      <c r="B60" s="76" t="inlineStr">
        <is>
          <t>Product 8</t>
        </is>
      </c>
      <c r="C60" s="89">
        <f>INDEX(Inventory_Clean!$F$2:$F$501,MATCH($B60,Inventory_Clean!$E$2:$E$501,0))</f>
        <v/>
      </c>
      <c r="D60" s="77">
        <f>SUMIFS(Inventory_Clean!$I$2:$I$501,Inventory_Clean!$E$2:$E$501,$B60)</f>
        <v/>
      </c>
      <c r="E60" s="90">
        <f>D60+ROW()/1000000</f>
        <v/>
      </c>
      <c r="G60" s="76" t="inlineStr">
        <is>
          <t>Product 13</t>
        </is>
      </c>
      <c r="H60" s="77">
        <f>SUMIFS(Inventory_Clean!$J$2:$J$501,Inventory_Clean!$E$2:$E$501,$G60)</f>
        <v/>
      </c>
      <c r="I60" s="79">
        <f>IFERROR(SUMIFS(Inventory_Clean!$J$2:$J$501,Inventory_Clean!$E$2:$E$501,$G60)/SUMIFS(Inventory_Clean!$O$2:$O$501,Inventory_Clean!$E$2:$E$501,$G60),0)</f>
        <v/>
      </c>
      <c r="J60" s="90">
        <f>H60+ROW()/1000000</f>
        <v/>
      </c>
      <c r="K60" s="76" t="inlineStr">
        <is>
          <t>Product 8</t>
        </is>
      </c>
      <c r="L60" s="77">
        <f>COUNTIFS(Inventory_Clean!$E$2:$E$501,$K60,Inventory_Clean!$U$2:$U$501,"Reorder Required")</f>
        <v/>
      </c>
      <c r="M60" s="77">
        <f>COUNTIFS(Inventory_Clean!$E$2:$E$501,$K60,Inventory_Clean!$U$2:$U$501,"Stock Sufficient")</f>
        <v/>
      </c>
      <c r="N60" s="91">
        <f>IFERROR(L60/(L60+M60),0)</f>
        <v/>
      </c>
      <c r="O60" s="90">
        <f>L60+ROW()/1000000</f>
        <v/>
      </c>
    </row>
    <row r="61">
      <c r="B61" s="76" t="inlineStr">
        <is>
          <t>Product 5</t>
        </is>
      </c>
      <c r="C61" s="89">
        <f>INDEX(Inventory_Clean!$F$2:$F$501,MATCH($B61,Inventory_Clean!$E$2:$E$501,0))</f>
        <v/>
      </c>
      <c r="D61" s="77">
        <f>SUMIFS(Inventory_Clean!$I$2:$I$501,Inventory_Clean!$E$2:$E$501,$B61)</f>
        <v/>
      </c>
      <c r="E61" s="90">
        <f>D61+ROW()/1000000</f>
        <v/>
      </c>
      <c r="G61" s="76" t="inlineStr">
        <is>
          <t>Product 4</t>
        </is>
      </c>
      <c r="H61" s="77">
        <f>SUMIFS(Inventory_Clean!$J$2:$J$501,Inventory_Clean!$E$2:$E$501,$G61)</f>
        <v/>
      </c>
      <c r="I61" s="79">
        <f>IFERROR(SUMIFS(Inventory_Clean!$J$2:$J$501,Inventory_Clean!$E$2:$E$501,$G61)/SUMIFS(Inventory_Clean!$O$2:$O$501,Inventory_Clean!$E$2:$E$501,$G61),0)</f>
        <v/>
      </c>
      <c r="J61" s="90">
        <f>H61+ROW()/1000000</f>
        <v/>
      </c>
      <c r="K61" s="76" t="inlineStr">
        <is>
          <t>Product 41</t>
        </is>
      </c>
      <c r="L61" s="77">
        <f>COUNTIFS(Inventory_Clean!$E$2:$E$501,$K61,Inventory_Clean!$U$2:$U$501,"Reorder Required")</f>
        <v/>
      </c>
      <c r="M61" s="77">
        <f>COUNTIFS(Inventory_Clean!$E$2:$E$501,$K61,Inventory_Clean!$U$2:$U$501,"Stock Sufficient")</f>
        <v/>
      </c>
      <c r="N61" s="91">
        <f>IFERROR(L61/(L61+M61),0)</f>
        <v/>
      </c>
      <c r="O61" s="90">
        <f>L61+ROW()/1000000</f>
        <v/>
      </c>
    </row>
    <row r="62">
      <c r="B62" s="76" t="inlineStr">
        <is>
          <t>Product 4</t>
        </is>
      </c>
      <c r="C62" s="89">
        <f>INDEX(Inventory_Clean!$F$2:$F$501,MATCH($B62,Inventory_Clean!$E$2:$E$501,0))</f>
        <v/>
      </c>
      <c r="D62" s="77">
        <f>SUMIFS(Inventory_Clean!$I$2:$I$501,Inventory_Clean!$E$2:$E$501,$B62)</f>
        <v/>
      </c>
      <c r="E62" s="90">
        <f>D62+ROW()/1000000</f>
        <v/>
      </c>
      <c r="G62" s="76" t="inlineStr">
        <is>
          <t>Product 3</t>
        </is>
      </c>
      <c r="H62" s="77">
        <f>SUMIFS(Inventory_Clean!$J$2:$J$501,Inventory_Clean!$E$2:$E$501,$G62)</f>
        <v/>
      </c>
      <c r="I62" s="79">
        <f>IFERROR(SUMIFS(Inventory_Clean!$J$2:$J$501,Inventory_Clean!$E$2:$E$501,$G62)/SUMIFS(Inventory_Clean!$O$2:$O$501,Inventory_Clean!$E$2:$E$501,$G62),0)</f>
        <v/>
      </c>
      <c r="J62" s="90">
        <f>H62+ROW()/1000000</f>
        <v/>
      </c>
      <c r="K62" s="76" t="inlineStr">
        <is>
          <t>Product 29</t>
        </is>
      </c>
      <c r="L62" s="77">
        <f>COUNTIFS(Inventory_Clean!$E$2:$E$501,$K62,Inventory_Clean!$U$2:$U$501,"Reorder Required")</f>
        <v/>
      </c>
      <c r="M62" s="77">
        <f>COUNTIFS(Inventory_Clean!$E$2:$E$501,$K62,Inventory_Clean!$U$2:$U$501,"Stock Sufficient")</f>
        <v/>
      </c>
      <c r="N62" s="91">
        <f>IFERROR(L62/(L62+M62),0)</f>
        <v/>
      </c>
      <c r="O62" s="90">
        <f>L62+ROW()/1000000</f>
        <v/>
      </c>
    </row>
    <row r="63">
      <c r="B63" s="76" t="inlineStr">
        <is>
          <t>Product 13</t>
        </is>
      </c>
      <c r="C63" s="89">
        <f>INDEX(Inventory_Clean!$F$2:$F$501,MATCH($B63,Inventory_Clean!$E$2:$E$501,0))</f>
        <v/>
      </c>
      <c r="D63" s="77">
        <f>SUMIFS(Inventory_Clean!$I$2:$I$501,Inventory_Clean!$E$2:$E$501,$B63)</f>
        <v/>
      </c>
      <c r="E63" s="90">
        <f>D63+ROW()/1000000</f>
        <v/>
      </c>
      <c r="G63" s="76" t="inlineStr">
        <is>
          <t>Product 27</t>
        </is>
      </c>
      <c r="H63" s="77">
        <f>SUMIFS(Inventory_Clean!$J$2:$J$501,Inventory_Clean!$E$2:$E$501,$G63)</f>
        <v/>
      </c>
      <c r="I63" s="79">
        <f>IFERROR(SUMIFS(Inventory_Clean!$J$2:$J$501,Inventory_Clean!$E$2:$E$501,$G63)/SUMIFS(Inventory_Clean!$O$2:$O$501,Inventory_Clean!$E$2:$E$501,$G63),0)</f>
        <v/>
      </c>
      <c r="J63" s="90">
        <f>H63+ROW()/1000000</f>
        <v/>
      </c>
      <c r="K63" s="76" t="inlineStr">
        <is>
          <t>Product 3</t>
        </is>
      </c>
      <c r="L63" s="77">
        <f>COUNTIFS(Inventory_Clean!$E$2:$E$501,$K63,Inventory_Clean!$U$2:$U$501,"Reorder Required")</f>
        <v/>
      </c>
      <c r="M63" s="77">
        <f>COUNTIFS(Inventory_Clean!$E$2:$E$501,$K63,Inventory_Clean!$U$2:$U$501,"Stock Sufficient")</f>
        <v/>
      </c>
      <c r="N63" s="91">
        <f>IFERROR(L63/(L63+M63),0)</f>
        <v/>
      </c>
      <c r="O63" s="90">
        <f>L63+ROW()/1000000</f>
        <v/>
      </c>
    </row>
    <row r="64">
      <c r="B64" s="76" t="inlineStr">
        <is>
          <t>Product 2</t>
        </is>
      </c>
      <c r="C64" s="89">
        <f>INDEX(Inventory_Clean!$F$2:$F$501,MATCH($B64,Inventory_Clean!$E$2:$E$501,0))</f>
        <v/>
      </c>
      <c r="D64" s="77">
        <f>SUMIFS(Inventory_Clean!$I$2:$I$501,Inventory_Clean!$E$2:$E$501,$B64)</f>
        <v/>
      </c>
      <c r="E64" s="90">
        <f>D64+ROW()/1000000</f>
        <v/>
      </c>
      <c r="G64" s="76" t="inlineStr">
        <is>
          <t>Product 23</t>
        </is>
      </c>
      <c r="H64" s="77">
        <f>SUMIFS(Inventory_Clean!$J$2:$J$501,Inventory_Clean!$E$2:$E$501,$G64)</f>
        <v/>
      </c>
      <c r="I64" s="79">
        <f>IFERROR(SUMIFS(Inventory_Clean!$J$2:$J$501,Inventory_Clean!$E$2:$E$501,$G64)/SUMIFS(Inventory_Clean!$O$2:$O$501,Inventory_Clean!$E$2:$E$501,$G64),0)</f>
        <v/>
      </c>
      <c r="J64" s="90">
        <f>H64+ROW()/1000000</f>
        <v/>
      </c>
      <c r="K64" s="76" t="inlineStr">
        <is>
          <t>Product 32</t>
        </is>
      </c>
      <c r="L64" s="77">
        <f>COUNTIFS(Inventory_Clean!$E$2:$E$501,$K64,Inventory_Clean!$U$2:$U$501,"Reorder Required")</f>
        <v/>
      </c>
      <c r="M64" s="77">
        <f>COUNTIFS(Inventory_Clean!$E$2:$E$501,$K64,Inventory_Clean!$U$2:$U$501,"Stock Sufficient")</f>
        <v/>
      </c>
      <c r="N64" s="91">
        <f>IFERROR(L64/(L64+M64),0)</f>
        <v/>
      </c>
      <c r="O64" s="90">
        <f>L64+ROW()/1000000</f>
        <v/>
      </c>
    </row>
    <row r="65">
      <c r="B65" s="76" t="inlineStr">
        <is>
          <t>Product 19</t>
        </is>
      </c>
      <c r="C65" s="89">
        <f>INDEX(Inventory_Clean!$F$2:$F$501,MATCH($B65,Inventory_Clean!$E$2:$E$501,0))</f>
        <v/>
      </c>
      <c r="D65" s="77">
        <f>SUMIFS(Inventory_Clean!$I$2:$I$501,Inventory_Clean!$E$2:$E$501,$B65)</f>
        <v/>
      </c>
      <c r="E65" s="90">
        <f>D65+ROW()/1000000</f>
        <v/>
      </c>
      <c r="G65" s="76" t="inlineStr">
        <is>
          <t>Product 46</t>
        </is>
      </c>
      <c r="H65" s="77">
        <f>SUMIFS(Inventory_Clean!$J$2:$J$501,Inventory_Clean!$E$2:$E$501,$G65)</f>
        <v/>
      </c>
      <c r="I65" s="79">
        <f>IFERROR(SUMIFS(Inventory_Clean!$J$2:$J$501,Inventory_Clean!$E$2:$E$501,$G65)/SUMIFS(Inventory_Clean!$O$2:$O$501,Inventory_Clean!$E$2:$E$501,$G65),0)</f>
        <v/>
      </c>
      <c r="J65" s="90">
        <f>H65+ROW()/1000000</f>
        <v/>
      </c>
      <c r="K65" s="76" t="inlineStr">
        <is>
          <t>Product 38</t>
        </is>
      </c>
      <c r="L65" s="77">
        <f>COUNTIFS(Inventory_Clean!$E$2:$E$501,$K65,Inventory_Clean!$U$2:$U$501,"Reorder Required")</f>
        <v/>
      </c>
      <c r="M65" s="77">
        <f>COUNTIFS(Inventory_Clean!$E$2:$E$501,$K65,Inventory_Clean!$U$2:$U$501,"Stock Sufficient")</f>
        <v/>
      </c>
      <c r="N65" s="91">
        <f>IFERROR(L65/(L65+M65),0)</f>
        <v/>
      </c>
      <c r="O65" s="90">
        <f>L65+ROW()/1000000</f>
        <v/>
      </c>
    </row>
    <row r="66">
      <c r="B66" s="76" t="inlineStr">
        <is>
          <t>Product 38</t>
        </is>
      </c>
      <c r="C66" s="89">
        <f>INDEX(Inventory_Clean!$F$2:$F$501,MATCH($B66,Inventory_Clean!$E$2:$E$501,0))</f>
        <v/>
      </c>
      <c r="D66" s="77">
        <f>SUMIFS(Inventory_Clean!$I$2:$I$501,Inventory_Clean!$E$2:$E$501,$B66)</f>
        <v/>
      </c>
      <c r="E66" s="90">
        <f>D66+ROW()/1000000</f>
        <v/>
      </c>
      <c r="G66" s="76" t="inlineStr">
        <is>
          <t>Product 41</t>
        </is>
      </c>
      <c r="H66" s="77">
        <f>SUMIFS(Inventory_Clean!$J$2:$J$501,Inventory_Clean!$E$2:$E$501,$G66)</f>
        <v/>
      </c>
      <c r="I66" s="79">
        <f>IFERROR(SUMIFS(Inventory_Clean!$J$2:$J$501,Inventory_Clean!$E$2:$E$501,$G66)/SUMIFS(Inventory_Clean!$O$2:$O$501,Inventory_Clean!$E$2:$E$501,$G66),0)</f>
        <v/>
      </c>
      <c r="J66" s="90">
        <f>H66+ROW()/1000000</f>
        <v/>
      </c>
      <c r="K66" s="76" t="inlineStr">
        <is>
          <t>Product 37</t>
        </is>
      </c>
      <c r="L66" s="77">
        <f>COUNTIFS(Inventory_Clean!$E$2:$E$501,$K66,Inventory_Clean!$U$2:$U$501,"Reorder Required")</f>
        <v/>
      </c>
      <c r="M66" s="77">
        <f>COUNTIFS(Inventory_Clean!$E$2:$E$501,$K66,Inventory_Clean!$U$2:$U$501,"Stock Sufficient")</f>
        <v/>
      </c>
      <c r="N66" s="91">
        <f>IFERROR(L66/(L66+M66),0)</f>
        <v/>
      </c>
      <c r="O66" s="90">
        <f>L66+ROW()/1000000</f>
        <v/>
      </c>
    </row>
    <row r="67">
      <c r="B67" s="76" t="inlineStr">
        <is>
          <t>Product 50</t>
        </is>
      </c>
      <c r="C67" s="89">
        <f>INDEX(Inventory_Clean!$F$2:$F$501,MATCH($B67,Inventory_Clean!$E$2:$E$501,0))</f>
        <v/>
      </c>
      <c r="D67" s="77">
        <f>SUMIFS(Inventory_Clean!$I$2:$I$501,Inventory_Clean!$E$2:$E$501,$B67)</f>
        <v/>
      </c>
      <c r="E67" s="90">
        <f>D67+ROW()/1000000</f>
        <v/>
      </c>
      <c r="G67" s="76" t="inlineStr">
        <is>
          <t>Product 26</t>
        </is>
      </c>
      <c r="H67" s="77">
        <f>SUMIFS(Inventory_Clean!$J$2:$J$501,Inventory_Clean!$E$2:$E$501,$G67)</f>
        <v/>
      </c>
      <c r="I67" s="79">
        <f>IFERROR(SUMIFS(Inventory_Clean!$J$2:$J$501,Inventory_Clean!$E$2:$E$501,$G67)/SUMIFS(Inventory_Clean!$O$2:$O$501,Inventory_Clean!$E$2:$E$501,$G67),0)</f>
        <v/>
      </c>
      <c r="J67" s="90">
        <f>H67+ROW()/1000000</f>
        <v/>
      </c>
      <c r="K67" s="76" t="inlineStr">
        <is>
          <t>Product 27</t>
        </is>
      </c>
      <c r="L67" s="77">
        <f>COUNTIFS(Inventory_Clean!$E$2:$E$501,$K67,Inventory_Clean!$U$2:$U$501,"Reorder Required")</f>
        <v/>
      </c>
      <c r="M67" s="77">
        <f>COUNTIFS(Inventory_Clean!$E$2:$E$501,$K67,Inventory_Clean!$U$2:$U$501,"Stock Sufficient")</f>
        <v/>
      </c>
      <c r="N67" s="91">
        <f>IFERROR(L67/(L67+M67),0)</f>
        <v/>
      </c>
      <c r="O67" s="90">
        <f>L67+ROW()/1000000</f>
        <v/>
      </c>
    </row>
    <row r="68">
      <c r="B68" s="76" t="inlineStr">
        <is>
          <t>Product 40</t>
        </is>
      </c>
      <c r="C68" s="89">
        <f>INDEX(Inventory_Clean!$F$2:$F$501,MATCH($B68,Inventory_Clean!$E$2:$E$501,0))</f>
        <v/>
      </c>
      <c r="D68" s="77">
        <f>SUMIFS(Inventory_Clean!$I$2:$I$501,Inventory_Clean!$E$2:$E$501,$B68)</f>
        <v/>
      </c>
      <c r="E68" s="90">
        <f>D68+ROW()/1000000</f>
        <v/>
      </c>
      <c r="G68" s="76" t="inlineStr">
        <is>
          <t>Product 2</t>
        </is>
      </c>
      <c r="H68" s="77">
        <f>SUMIFS(Inventory_Clean!$J$2:$J$501,Inventory_Clean!$E$2:$E$501,$G68)</f>
        <v/>
      </c>
      <c r="I68" s="79">
        <f>IFERROR(SUMIFS(Inventory_Clean!$J$2:$J$501,Inventory_Clean!$E$2:$E$501,$G68)/SUMIFS(Inventory_Clean!$O$2:$O$501,Inventory_Clean!$E$2:$E$501,$G68),0)</f>
        <v/>
      </c>
      <c r="J68" s="90">
        <f>H68+ROW()/1000000</f>
        <v/>
      </c>
      <c r="K68" s="76" t="inlineStr">
        <is>
          <t>Product 46</t>
        </is>
      </c>
      <c r="L68" s="77">
        <f>COUNTIFS(Inventory_Clean!$E$2:$E$501,$K68,Inventory_Clean!$U$2:$U$501,"Reorder Required")</f>
        <v/>
      </c>
      <c r="M68" s="77">
        <f>COUNTIFS(Inventory_Clean!$E$2:$E$501,$K68,Inventory_Clean!$U$2:$U$501,"Stock Sufficient")</f>
        <v/>
      </c>
      <c r="N68" s="91">
        <f>IFERROR(L68/(L68+M68),0)</f>
        <v/>
      </c>
      <c r="O68" s="90">
        <f>L68+ROW()/1000000</f>
        <v/>
      </c>
    </row>
    <row r="69">
      <c r="B69" s="76" t="inlineStr">
        <is>
          <t>Product 14</t>
        </is>
      </c>
      <c r="C69" s="89">
        <f>INDEX(Inventory_Clean!$F$2:$F$501,MATCH($B69,Inventory_Clean!$E$2:$E$501,0))</f>
        <v/>
      </c>
      <c r="D69" s="77">
        <f>SUMIFS(Inventory_Clean!$I$2:$I$501,Inventory_Clean!$E$2:$E$501,$B69)</f>
        <v/>
      </c>
      <c r="E69" s="90">
        <f>D69+ROW()/1000000</f>
        <v/>
      </c>
      <c r="G69" s="76" t="inlineStr">
        <is>
          <t>Product 18</t>
        </is>
      </c>
      <c r="H69" s="77">
        <f>SUMIFS(Inventory_Clean!$J$2:$J$501,Inventory_Clean!$E$2:$E$501,$G69)</f>
        <v/>
      </c>
      <c r="I69" s="79">
        <f>IFERROR(SUMIFS(Inventory_Clean!$J$2:$J$501,Inventory_Clean!$E$2:$E$501,$G69)/SUMIFS(Inventory_Clean!$O$2:$O$501,Inventory_Clean!$E$2:$E$501,$G69),0)</f>
        <v/>
      </c>
      <c r="J69" s="90">
        <f>H69+ROW()/1000000</f>
        <v/>
      </c>
      <c r="K69" s="76" t="inlineStr">
        <is>
          <t>Product 34</t>
        </is>
      </c>
      <c r="L69" s="77">
        <f>COUNTIFS(Inventory_Clean!$E$2:$E$501,$K69,Inventory_Clean!$U$2:$U$501,"Reorder Required")</f>
        <v/>
      </c>
      <c r="M69" s="77">
        <f>COUNTIFS(Inventory_Clean!$E$2:$E$501,$K69,Inventory_Clean!$U$2:$U$501,"Stock Sufficient")</f>
        <v/>
      </c>
      <c r="N69" s="91">
        <f>IFERROR(L69/(L69+M69),0)</f>
        <v/>
      </c>
      <c r="O69" s="90">
        <f>L69+ROW()/1000000</f>
        <v/>
      </c>
    </row>
    <row r="70">
      <c r="B70" s="76" t="inlineStr">
        <is>
          <t>Product 31</t>
        </is>
      </c>
      <c r="C70" s="89">
        <f>INDEX(Inventory_Clean!$F$2:$F$501,MATCH($B70,Inventory_Clean!$E$2:$E$501,0))</f>
        <v/>
      </c>
      <c r="D70" s="77">
        <f>SUMIFS(Inventory_Clean!$I$2:$I$501,Inventory_Clean!$E$2:$E$501,$B70)</f>
        <v/>
      </c>
      <c r="E70" s="90">
        <f>D70+ROW()/1000000</f>
        <v/>
      </c>
      <c r="G70" s="76" t="inlineStr">
        <is>
          <t>Product 19</t>
        </is>
      </c>
      <c r="H70" s="77">
        <f>SUMIFS(Inventory_Clean!$J$2:$J$501,Inventory_Clean!$E$2:$E$501,$G70)</f>
        <v/>
      </c>
      <c r="I70" s="79">
        <f>IFERROR(SUMIFS(Inventory_Clean!$J$2:$J$501,Inventory_Clean!$E$2:$E$501,$G70)/SUMIFS(Inventory_Clean!$O$2:$O$501,Inventory_Clean!$E$2:$E$501,$G70),0)</f>
        <v/>
      </c>
      <c r="J70" s="90">
        <f>H70+ROW()/1000000</f>
        <v/>
      </c>
      <c r="K70" s="76" t="inlineStr">
        <is>
          <t>Product 50</t>
        </is>
      </c>
      <c r="L70" s="77">
        <f>COUNTIFS(Inventory_Clean!$E$2:$E$501,$K70,Inventory_Clean!$U$2:$U$501,"Reorder Required")</f>
        <v/>
      </c>
      <c r="M70" s="77">
        <f>COUNTIFS(Inventory_Clean!$E$2:$E$501,$K70,Inventory_Clean!$U$2:$U$501,"Stock Sufficient")</f>
        <v/>
      </c>
      <c r="N70" s="91">
        <f>IFERROR(L70/(L70+M70),0)</f>
        <v/>
      </c>
      <c r="O70" s="90">
        <f>L70+ROW()/1000000</f>
        <v/>
      </c>
    </row>
    <row r="71">
      <c r="B71" s="76" t="inlineStr">
        <is>
          <t>Product 30</t>
        </is>
      </c>
      <c r="C71" s="89">
        <f>INDEX(Inventory_Clean!$F$2:$F$501,MATCH($B71,Inventory_Clean!$E$2:$E$501,0))</f>
        <v/>
      </c>
      <c r="D71" s="77">
        <f>SUMIFS(Inventory_Clean!$I$2:$I$501,Inventory_Clean!$E$2:$E$501,$B71)</f>
        <v/>
      </c>
      <c r="E71" s="90">
        <f>D71+ROW()/1000000</f>
        <v/>
      </c>
      <c r="G71" s="76" t="inlineStr">
        <is>
          <t>Product 21</t>
        </is>
      </c>
      <c r="H71" s="77">
        <f>SUMIFS(Inventory_Clean!$J$2:$J$501,Inventory_Clean!$E$2:$E$501,$G71)</f>
        <v/>
      </c>
      <c r="I71" s="79">
        <f>IFERROR(SUMIFS(Inventory_Clean!$J$2:$J$501,Inventory_Clean!$E$2:$E$501,$G71)/SUMIFS(Inventory_Clean!$O$2:$O$501,Inventory_Clean!$E$2:$E$501,$G71),0)</f>
        <v/>
      </c>
      <c r="J71" s="90">
        <f>H71+ROW()/1000000</f>
        <v/>
      </c>
      <c r="K71" s="76" t="inlineStr">
        <is>
          <t>Product 45</t>
        </is>
      </c>
      <c r="L71" s="77">
        <f>COUNTIFS(Inventory_Clean!$E$2:$E$501,$K71,Inventory_Clean!$U$2:$U$501,"Reorder Required")</f>
        <v/>
      </c>
      <c r="M71" s="77">
        <f>COUNTIFS(Inventory_Clean!$E$2:$E$501,$K71,Inventory_Clean!$U$2:$U$501,"Stock Sufficient")</f>
        <v/>
      </c>
      <c r="N71" s="91">
        <f>IFERROR(L71/(L71+M71),0)</f>
        <v/>
      </c>
      <c r="O71" s="90">
        <f>L71+ROW()/1000000</f>
        <v/>
      </c>
    </row>
    <row r="72">
      <c r="B72" s="76" t="inlineStr">
        <is>
          <t>Product 21</t>
        </is>
      </c>
      <c r="C72" s="89">
        <f>INDEX(Inventory_Clean!$F$2:$F$501,MATCH($B72,Inventory_Clean!$E$2:$E$501,0))</f>
        <v/>
      </c>
      <c r="D72" s="77">
        <f>SUMIFS(Inventory_Clean!$I$2:$I$501,Inventory_Clean!$E$2:$E$501,$B72)</f>
        <v/>
      </c>
      <c r="E72" s="90">
        <f>D72+ROW()/1000000</f>
        <v/>
      </c>
      <c r="G72" s="76" t="inlineStr">
        <is>
          <t>Product 5</t>
        </is>
      </c>
      <c r="H72" s="77">
        <f>SUMIFS(Inventory_Clean!$J$2:$J$501,Inventory_Clean!$E$2:$E$501,$G72)</f>
        <v/>
      </c>
      <c r="I72" s="79">
        <f>IFERROR(SUMIFS(Inventory_Clean!$J$2:$J$501,Inventory_Clean!$E$2:$E$501,$G72)/SUMIFS(Inventory_Clean!$O$2:$O$501,Inventory_Clean!$E$2:$E$501,$G72),0)</f>
        <v/>
      </c>
      <c r="J72" s="90">
        <f>H72+ROW()/1000000</f>
        <v/>
      </c>
      <c r="K72" s="76" t="inlineStr">
        <is>
          <t>Product 15</t>
        </is>
      </c>
      <c r="L72" s="77">
        <f>COUNTIFS(Inventory_Clean!$E$2:$E$501,$K72,Inventory_Clean!$U$2:$U$501,"Reorder Required")</f>
        <v/>
      </c>
      <c r="M72" s="77">
        <f>COUNTIFS(Inventory_Clean!$E$2:$E$501,$K72,Inventory_Clean!$U$2:$U$501,"Stock Sufficient")</f>
        <v/>
      </c>
      <c r="N72" s="91">
        <f>IFERROR(L72/(L72+M72),0)</f>
        <v/>
      </c>
      <c r="O72" s="90">
        <f>L72+ROW()/1000000</f>
        <v/>
      </c>
    </row>
    <row r="73">
      <c r="B73" s="76" t="inlineStr">
        <is>
          <t>Product 41</t>
        </is>
      </c>
      <c r="C73" s="89">
        <f>INDEX(Inventory_Clean!$F$2:$F$501,MATCH($B73,Inventory_Clean!$E$2:$E$501,0))</f>
        <v/>
      </c>
      <c r="D73" s="77">
        <f>SUMIFS(Inventory_Clean!$I$2:$I$501,Inventory_Clean!$E$2:$E$501,$B73)</f>
        <v/>
      </c>
      <c r="E73" s="90">
        <f>D73+ROW()/1000000</f>
        <v/>
      </c>
      <c r="G73" s="76" t="inlineStr">
        <is>
          <t>Product 16</t>
        </is>
      </c>
      <c r="H73" s="77">
        <f>SUMIFS(Inventory_Clean!$J$2:$J$501,Inventory_Clean!$E$2:$E$501,$G73)</f>
        <v/>
      </c>
      <c r="I73" s="79">
        <f>IFERROR(SUMIFS(Inventory_Clean!$J$2:$J$501,Inventory_Clean!$E$2:$E$501,$G73)/SUMIFS(Inventory_Clean!$O$2:$O$501,Inventory_Clean!$E$2:$E$501,$G73),0)</f>
        <v/>
      </c>
      <c r="J73" s="90">
        <f>H73+ROW()/1000000</f>
        <v/>
      </c>
      <c r="K73" s="76" t="inlineStr">
        <is>
          <t>Product 18</t>
        </is>
      </c>
      <c r="L73" s="77">
        <f>COUNTIFS(Inventory_Clean!$E$2:$E$501,$K73,Inventory_Clean!$U$2:$U$501,"Reorder Required")</f>
        <v/>
      </c>
      <c r="M73" s="77">
        <f>COUNTIFS(Inventory_Clean!$E$2:$E$501,$K73,Inventory_Clean!$U$2:$U$501,"Stock Sufficient")</f>
        <v/>
      </c>
      <c r="N73" s="91">
        <f>IFERROR(L73/(L73+M73),0)</f>
        <v/>
      </c>
      <c r="O73" s="90">
        <f>L73+ROW()/1000000</f>
        <v/>
      </c>
    </row>
    <row r="74">
      <c r="B74" s="76" t="inlineStr">
        <is>
          <t>Product 46</t>
        </is>
      </c>
      <c r="C74" s="89">
        <f>INDEX(Inventory_Clean!$F$2:$F$501,MATCH($B74,Inventory_Clean!$E$2:$E$501,0))</f>
        <v/>
      </c>
      <c r="D74" s="77">
        <f>SUMIFS(Inventory_Clean!$I$2:$I$501,Inventory_Clean!$E$2:$E$501,$B74)</f>
        <v/>
      </c>
      <c r="E74" s="90">
        <f>D74+ROW()/1000000</f>
        <v/>
      </c>
      <c r="G74" s="76" t="inlineStr">
        <is>
          <t>Product 14</t>
        </is>
      </c>
      <c r="H74" s="77">
        <f>SUMIFS(Inventory_Clean!$J$2:$J$501,Inventory_Clean!$E$2:$E$501,$G74)</f>
        <v/>
      </c>
      <c r="I74" s="79">
        <f>IFERROR(SUMIFS(Inventory_Clean!$J$2:$J$501,Inventory_Clean!$E$2:$E$501,$G74)/SUMIFS(Inventory_Clean!$O$2:$O$501,Inventory_Clean!$E$2:$E$501,$G74),0)</f>
        <v/>
      </c>
      <c r="J74" s="90">
        <f>H74+ROW()/1000000</f>
        <v/>
      </c>
      <c r="K74" s="76" t="inlineStr">
        <is>
          <t>Product 21</t>
        </is>
      </c>
      <c r="L74" s="77">
        <f>COUNTIFS(Inventory_Clean!$E$2:$E$501,$K74,Inventory_Clean!$U$2:$U$501,"Reorder Required")</f>
        <v/>
      </c>
      <c r="M74" s="77">
        <f>COUNTIFS(Inventory_Clean!$E$2:$E$501,$K74,Inventory_Clean!$U$2:$U$501,"Stock Sufficient")</f>
        <v/>
      </c>
      <c r="N74" s="91">
        <f>IFERROR(L74/(L74+M74),0)</f>
        <v/>
      </c>
      <c r="O74" s="90">
        <f>L74+ROW()/1000000</f>
        <v/>
      </c>
    </row>
    <row r="75">
      <c r="B75" s="76" t="inlineStr">
        <is>
          <t>Product 23</t>
        </is>
      </c>
      <c r="C75" s="89">
        <f>INDEX(Inventory_Clean!$F$2:$F$501,MATCH($B75,Inventory_Clean!$E$2:$E$501,0))</f>
        <v/>
      </c>
      <c r="D75" s="77">
        <f>SUMIFS(Inventory_Clean!$I$2:$I$501,Inventory_Clean!$E$2:$E$501,$B75)</f>
        <v/>
      </c>
      <c r="E75" s="90">
        <f>D75+ROW()/1000000</f>
        <v/>
      </c>
      <c r="G75" s="76" t="inlineStr">
        <is>
          <t>Product 1</t>
        </is>
      </c>
      <c r="H75" s="77">
        <f>SUMIFS(Inventory_Clean!$J$2:$J$501,Inventory_Clean!$E$2:$E$501,$G75)</f>
        <v/>
      </c>
      <c r="I75" s="79">
        <f>IFERROR(SUMIFS(Inventory_Clean!$J$2:$J$501,Inventory_Clean!$E$2:$E$501,$G75)/SUMIFS(Inventory_Clean!$O$2:$O$501,Inventory_Clean!$E$2:$E$501,$G75),0)</f>
        <v/>
      </c>
      <c r="J75" s="90">
        <f>H75+ROW()/1000000</f>
        <v/>
      </c>
      <c r="K75" s="76" t="inlineStr">
        <is>
          <t>Product 48</t>
        </is>
      </c>
      <c r="L75" s="77">
        <f>COUNTIFS(Inventory_Clean!$E$2:$E$501,$K75,Inventory_Clean!$U$2:$U$501,"Reorder Required")</f>
        <v/>
      </c>
      <c r="M75" s="77">
        <f>COUNTIFS(Inventory_Clean!$E$2:$E$501,$K75,Inventory_Clean!$U$2:$U$501,"Stock Sufficient")</f>
        <v/>
      </c>
      <c r="N75" s="91">
        <f>IFERROR(L75/(L75+M75),0)</f>
        <v/>
      </c>
      <c r="O75" s="90">
        <f>L75+ROW()/1000000</f>
        <v/>
      </c>
    </row>
    <row r="76">
      <c r="B76" s="76" t="inlineStr">
        <is>
          <t>Product 24</t>
        </is>
      </c>
      <c r="C76" s="89">
        <f>INDEX(Inventory_Clean!$F$2:$F$501,MATCH($B76,Inventory_Clean!$E$2:$E$501,0))</f>
        <v/>
      </c>
      <c r="D76" s="77">
        <f>SUMIFS(Inventory_Clean!$I$2:$I$501,Inventory_Clean!$E$2:$E$501,$B76)</f>
        <v/>
      </c>
      <c r="E76" s="90">
        <f>D76+ROW()/1000000</f>
        <v/>
      </c>
      <c r="G76" s="76" t="inlineStr">
        <is>
          <t>Product 50</t>
        </is>
      </c>
      <c r="H76" s="77">
        <f>SUMIFS(Inventory_Clean!$J$2:$J$501,Inventory_Clean!$E$2:$E$501,$G76)</f>
        <v/>
      </c>
      <c r="I76" s="79">
        <f>IFERROR(SUMIFS(Inventory_Clean!$J$2:$J$501,Inventory_Clean!$E$2:$E$501,$G76)/SUMIFS(Inventory_Clean!$O$2:$O$501,Inventory_Clean!$E$2:$E$501,$G76),0)</f>
        <v/>
      </c>
      <c r="J76" s="90">
        <f>H76+ROW()/1000000</f>
        <v/>
      </c>
      <c r="K76" s="76" t="inlineStr">
        <is>
          <t>Product 5</t>
        </is>
      </c>
      <c r="L76" s="77">
        <f>COUNTIFS(Inventory_Clean!$E$2:$E$501,$K76,Inventory_Clean!$U$2:$U$501,"Reorder Required")</f>
        <v/>
      </c>
      <c r="M76" s="77">
        <f>COUNTIFS(Inventory_Clean!$E$2:$E$501,$K76,Inventory_Clean!$U$2:$U$501,"Stock Sufficient")</f>
        <v/>
      </c>
      <c r="N76" s="91">
        <f>IFERROR(L76/(L76+M76),0)</f>
        <v/>
      </c>
      <c r="O76" s="90">
        <f>L76+ROW()/1000000</f>
        <v/>
      </c>
    </row>
    <row r="77">
      <c r="B77" s="76" t="inlineStr">
        <is>
          <t>Product 36</t>
        </is>
      </c>
      <c r="C77" s="89">
        <f>INDEX(Inventory_Clean!$F$2:$F$501,MATCH($B77,Inventory_Clean!$E$2:$E$501,0))</f>
        <v/>
      </c>
      <c r="D77" s="77">
        <f>SUMIFS(Inventory_Clean!$I$2:$I$501,Inventory_Clean!$E$2:$E$501,$B77)</f>
        <v/>
      </c>
      <c r="E77" s="90">
        <f>D77+ROW()/1000000</f>
        <v/>
      </c>
      <c r="G77" s="76" t="inlineStr">
        <is>
          <t>Product 24</t>
        </is>
      </c>
      <c r="H77" s="77">
        <f>SUMIFS(Inventory_Clean!$J$2:$J$501,Inventory_Clean!$E$2:$E$501,$G77)</f>
        <v/>
      </c>
      <c r="I77" s="79">
        <f>IFERROR(SUMIFS(Inventory_Clean!$J$2:$J$501,Inventory_Clean!$E$2:$E$501,$G77)/SUMIFS(Inventory_Clean!$O$2:$O$501,Inventory_Clean!$E$2:$E$501,$G77),0)</f>
        <v/>
      </c>
      <c r="J77" s="90">
        <f>H77+ROW()/1000000</f>
        <v/>
      </c>
      <c r="K77" s="76" t="inlineStr">
        <is>
          <t>Product 33</t>
        </is>
      </c>
      <c r="L77" s="77">
        <f>COUNTIFS(Inventory_Clean!$E$2:$E$501,$K77,Inventory_Clean!$U$2:$U$501,"Reorder Required")</f>
        <v/>
      </c>
      <c r="M77" s="77">
        <f>COUNTIFS(Inventory_Clean!$E$2:$E$501,$K77,Inventory_Clean!$U$2:$U$501,"Stock Sufficient")</f>
        <v/>
      </c>
      <c r="N77" s="91">
        <f>IFERROR(L77/(L77+M77),0)</f>
        <v/>
      </c>
      <c r="O77" s="90">
        <f>L77+ROW()/1000000</f>
        <v/>
      </c>
    </row>
    <row r="78">
      <c r="B78" s="76" t="inlineStr">
        <is>
          <t>Product 6</t>
        </is>
      </c>
      <c r="C78" s="89">
        <f>INDEX(Inventory_Clean!$F$2:$F$501,MATCH($B78,Inventory_Clean!$E$2:$E$501,0))</f>
        <v/>
      </c>
      <c r="D78" s="77">
        <f>SUMIFS(Inventory_Clean!$I$2:$I$501,Inventory_Clean!$E$2:$E$501,$B78)</f>
        <v/>
      </c>
      <c r="E78" s="90">
        <f>D78+ROW()/1000000</f>
        <v/>
      </c>
      <c r="G78" s="76" t="inlineStr">
        <is>
          <t>Product 9</t>
        </is>
      </c>
      <c r="H78" s="77">
        <f>SUMIFS(Inventory_Clean!$J$2:$J$501,Inventory_Clean!$E$2:$E$501,$G78)</f>
        <v/>
      </c>
      <c r="I78" s="79">
        <f>IFERROR(SUMIFS(Inventory_Clean!$J$2:$J$501,Inventory_Clean!$E$2:$E$501,$G78)/SUMIFS(Inventory_Clean!$O$2:$O$501,Inventory_Clean!$E$2:$E$501,$G78),0)</f>
        <v/>
      </c>
      <c r="J78" s="90">
        <f>H78+ROW()/1000000</f>
        <v/>
      </c>
      <c r="K78" s="76" t="inlineStr">
        <is>
          <t>Product 36</t>
        </is>
      </c>
      <c r="L78" s="77">
        <f>COUNTIFS(Inventory_Clean!$E$2:$E$501,$K78,Inventory_Clean!$U$2:$U$501,"Reorder Required")</f>
        <v/>
      </c>
      <c r="M78" s="77">
        <f>COUNTIFS(Inventory_Clean!$E$2:$E$501,$K78,Inventory_Clean!$U$2:$U$501,"Stock Sufficient")</f>
        <v/>
      </c>
      <c r="N78" s="91">
        <f>IFERROR(L78/(L78+M78),0)</f>
        <v/>
      </c>
      <c r="O78" s="90">
        <f>L78+ROW()/1000000</f>
        <v/>
      </c>
    </row>
    <row r="79">
      <c r="B79" s="76" t="inlineStr">
        <is>
          <t>Product 22</t>
        </is>
      </c>
      <c r="C79" s="89">
        <f>INDEX(Inventory_Clean!$F$2:$F$501,MATCH($B79,Inventory_Clean!$E$2:$E$501,0))</f>
        <v/>
      </c>
      <c r="D79" s="77">
        <f>SUMIFS(Inventory_Clean!$I$2:$I$501,Inventory_Clean!$E$2:$E$501,$B79)</f>
        <v/>
      </c>
      <c r="E79" s="90">
        <f>D79+ROW()/1000000</f>
        <v/>
      </c>
      <c r="G79" s="76" t="inlineStr">
        <is>
          <t>Product 15</t>
        </is>
      </c>
      <c r="H79" s="77">
        <f>SUMIFS(Inventory_Clean!$J$2:$J$501,Inventory_Clean!$E$2:$E$501,$G79)</f>
        <v/>
      </c>
      <c r="I79" s="79">
        <f>IFERROR(SUMIFS(Inventory_Clean!$J$2:$J$501,Inventory_Clean!$E$2:$E$501,$G79)/SUMIFS(Inventory_Clean!$O$2:$O$501,Inventory_Clean!$E$2:$E$501,$G79),0)</f>
        <v/>
      </c>
      <c r="J79" s="90">
        <f>H79+ROW()/1000000</f>
        <v/>
      </c>
      <c r="K79" s="76" t="inlineStr">
        <is>
          <t>Product 4</t>
        </is>
      </c>
      <c r="L79" s="77">
        <f>COUNTIFS(Inventory_Clean!$E$2:$E$501,$K79,Inventory_Clean!$U$2:$U$501,"Reorder Required")</f>
        <v/>
      </c>
      <c r="M79" s="77">
        <f>COUNTIFS(Inventory_Clean!$E$2:$E$501,$K79,Inventory_Clean!$U$2:$U$501,"Stock Sufficient")</f>
        <v/>
      </c>
      <c r="N79" s="91">
        <f>IFERROR(L79/(L79+M79),0)</f>
        <v/>
      </c>
      <c r="O79" s="90">
        <f>L79+ROW()/1000000</f>
        <v/>
      </c>
    </row>
    <row r="80">
      <c r="B80" s="76" t="inlineStr">
        <is>
          <t>Product 18</t>
        </is>
      </c>
      <c r="C80" s="89">
        <f>INDEX(Inventory_Clean!$F$2:$F$501,MATCH($B80,Inventory_Clean!$E$2:$E$501,0))</f>
        <v/>
      </c>
      <c r="D80" s="77">
        <f>SUMIFS(Inventory_Clean!$I$2:$I$501,Inventory_Clean!$E$2:$E$501,$B80)</f>
        <v/>
      </c>
      <c r="E80" s="90">
        <f>D80+ROW()/1000000</f>
        <v/>
      </c>
      <c r="G80" s="76" t="inlineStr">
        <is>
          <t>Product 42</t>
        </is>
      </c>
      <c r="H80" s="77">
        <f>SUMIFS(Inventory_Clean!$J$2:$J$501,Inventory_Clean!$E$2:$E$501,$G80)</f>
        <v/>
      </c>
      <c r="I80" s="79">
        <f>IFERROR(SUMIFS(Inventory_Clean!$J$2:$J$501,Inventory_Clean!$E$2:$E$501,$G80)/SUMIFS(Inventory_Clean!$O$2:$O$501,Inventory_Clean!$E$2:$E$501,$G80),0)</f>
        <v/>
      </c>
      <c r="J80" s="90">
        <f>H80+ROW()/1000000</f>
        <v/>
      </c>
      <c r="K80" s="76" t="inlineStr">
        <is>
          <t>Product 24</t>
        </is>
      </c>
      <c r="L80" s="77">
        <f>COUNTIFS(Inventory_Clean!$E$2:$E$501,$K80,Inventory_Clean!$U$2:$U$501,"Reorder Required")</f>
        <v/>
      </c>
      <c r="M80" s="77">
        <f>COUNTIFS(Inventory_Clean!$E$2:$E$501,$K80,Inventory_Clean!$U$2:$U$501,"Stock Sufficient")</f>
        <v/>
      </c>
      <c r="N80" s="91">
        <f>IFERROR(L80/(L80+M80),0)</f>
        <v/>
      </c>
      <c r="O80" s="90">
        <f>L80+ROW()/1000000</f>
        <v/>
      </c>
    </row>
    <row r="81">
      <c r="B81" s="76" t="inlineStr">
        <is>
          <t>Product 28</t>
        </is>
      </c>
      <c r="C81" s="89">
        <f>INDEX(Inventory_Clean!$F$2:$F$501,MATCH($B81,Inventory_Clean!$E$2:$E$501,0))</f>
        <v/>
      </c>
      <c r="D81" s="77">
        <f>SUMIFS(Inventory_Clean!$I$2:$I$501,Inventory_Clean!$E$2:$E$501,$B81)</f>
        <v/>
      </c>
      <c r="E81" s="90">
        <f>D81+ROW()/1000000</f>
        <v/>
      </c>
      <c r="G81" s="76" t="inlineStr">
        <is>
          <t>Product 48</t>
        </is>
      </c>
      <c r="H81" s="77">
        <f>SUMIFS(Inventory_Clean!$J$2:$J$501,Inventory_Clean!$E$2:$E$501,$G81)</f>
        <v/>
      </c>
      <c r="I81" s="79">
        <f>IFERROR(SUMIFS(Inventory_Clean!$J$2:$J$501,Inventory_Clean!$E$2:$E$501,$G81)/SUMIFS(Inventory_Clean!$O$2:$O$501,Inventory_Clean!$E$2:$E$501,$G81),0)</f>
        <v/>
      </c>
      <c r="J81" s="90">
        <f>H81+ROW()/1000000</f>
        <v/>
      </c>
      <c r="K81" s="76" t="inlineStr">
        <is>
          <t>Product 22</t>
        </is>
      </c>
      <c r="L81" s="77">
        <f>COUNTIFS(Inventory_Clean!$E$2:$E$501,$K81,Inventory_Clean!$U$2:$U$501,"Reorder Required")</f>
        <v/>
      </c>
      <c r="M81" s="77">
        <f>COUNTIFS(Inventory_Clean!$E$2:$E$501,$K81,Inventory_Clean!$U$2:$U$501,"Stock Sufficient")</f>
        <v/>
      </c>
      <c r="N81" s="91">
        <f>IFERROR(L81/(L81+M81),0)</f>
        <v/>
      </c>
      <c r="O81" s="90">
        <f>L81+ROW()/1000000</f>
        <v/>
      </c>
    </row>
    <row r="82">
      <c r="B82" s="76" t="inlineStr">
        <is>
          <t>Product 10</t>
        </is>
      </c>
      <c r="C82" s="89">
        <f>INDEX(Inventory_Clean!$F$2:$F$501,MATCH($B82,Inventory_Clean!$E$2:$E$501,0))</f>
        <v/>
      </c>
      <c r="D82" s="77">
        <f>SUMIFS(Inventory_Clean!$I$2:$I$501,Inventory_Clean!$E$2:$E$501,$B82)</f>
        <v/>
      </c>
      <c r="E82" s="90">
        <f>D82+ROW()/1000000</f>
        <v/>
      </c>
      <c r="G82" s="76" t="inlineStr">
        <is>
          <t>Product 17</t>
        </is>
      </c>
      <c r="H82" s="77">
        <f>SUMIFS(Inventory_Clean!$J$2:$J$501,Inventory_Clean!$E$2:$E$501,$G82)</f>
        <v/>
      </c>
      <c r="I82" s="79">
        <f>IFERROR(SUMIFS(Inventory_Clean!$J$2:$J$501,Inventory_Clean!$E$2:$E$501,$G82)/SUMIFS(Inventory_Clean!$O$2:$O$501,Inventory_Clean!$E$2:$E$501,$G82),0)</f>
        <v/>
      </c>
      <c r="J82" s="90">
        <f>H82+ROW()/1000000</f>
        <v/>
      </c>
      <c r="K82" s="76" t="inlineStr">
        <is>
          <t>Product 13</t>
        </is>
      </c>
      <c r="L82" s="77">
        <f>COUNTIFS(Inventory_Clean!$E$2:$E$501,$K82,Inventory_Clean!$U$2:$U$501,"Reorder Required")</f>
        <v/>
      </c>
      <c r="M82" s="77">
        <f>COUNTIFS(Inventory_Clean!$E$2:$E$501,$K82,Inventory_Clean!$U$2:$U$501,"Stock Sufficient")</f>
        <v/>
      </c>
      <c r="N82" s="91">
        <f>IFERROR(L82/(L82+M82),0)</f>
        <v/>
      </c>
      <c r="O82" s="90">
        <f>L82+ROW()/1000000</f>
        <v/>
      </c>
    </row>
    <row r="83">
      <c r="B83" s="76" t="inlineStr">
        <is>
          <t>Product 33</t>
        </is>
      </c>
      <c r="C83" s="89">
        <f>INDEX(Inventory_Clean!$F$2:$F$501,MATCH($B83,Inventory_Clean!$E$2:$E$501,0))</f>
        <v/>
      </c>
      <c r="D83" s="77">
        <f>SUMIFS(Inventory_Clean!$I$2:$I$501,Inventory_Clean!$E$2:$E$501,$B83)</f>
        <v/>
      </c>
      <c r="E83" s="90">
        <f>D83+ROW()/1000000</f>
        <v/>
      </c>
      <c r="G83" s="76" t="inlineStr">
        <is>
          <t>Product 7</t>
        </is>
      </c>
      <c r="H83" s="77">
        <f>SUMIFS(Inventory_Clean!$J$2:$J$501,Inventory_Clean!$E$2:$E$501,$G83)</f>
        <v/>
      </c>
      <c r="I83" s="79">
        <f>IFERROR(SUMIFS(Inventory_Clean!$J$2:$J$501,Inventory_Clean!$E$2:$E$501,$G83)/SUMIFS(Inventory_Clean!$O$2:$O$501,Inventory_Clean!$E$2:$E$501,$G83),0)</f>
        <v/>
      </c>
      <c r="J83" s="90">
        <f>H83+ROW()/1000000</f>
        <v/>
      </c>
      <c r="K83" s="76" t="inlineStr">
        <is>
          <t>Product 12</t>
        </is>
      </c>
      <c r="L83" s="77">
        <f>COUNTIFS(Inventory_Clean!$E$2:$E$501,$K83,Inventory_Clean!$U$2:$U$501,"Reorder Required")</f>
        <v/>
      </c>
      <c r="M83" s="77">
        <f>COUNTIFS(Inventory_Clean!$E$2:$E$501,$K83,Inventory_Clean!$U$2:$U$501,"Stock Sufficient")</f>
        <v/>
      </c>
      <c r="N83" s="91">
        <f>IFERROR(L83/(L83+M83),0)</f>
        <v/>
      </c>
      <c r="O83" s="90">
        <f>L83+ROW()/1000000</f>
        <v/>
      </c>
    </row>
    <row r="84">
      <c r="B84" s="76" t="inlineStr">
        <is>
          <t>Product 39</t>
        </is>
      </c>
      <c r="C84" s="89">
        <f>INDEX(Inventory_Clean!$F$2:$F$501,MATCH($B84,Inventory_Clean!$E$2:$E$501,0))</f>
        <v/>
      </c>
      <c r="D84" s="77">
        <f>SUMIFS(Inventory_Clean!$I$2:$I$501,Inventory_Clean!$E$2:$E$501,$B84)</f>
        <v/>
      </c>
      <c r="E84" s="90">
        <f>D84+ROW()/1000000</f>
        <v/>
      </c>
      <c r="G84" s="76" t="inlineStr">
        <is>
          <t>Product 47</t>
        </is>
      </c>
      <c r="H84" s="77">
        <f>SUMIFS(Inventory_Clean!$J$2:$J$501,Inventory_Clean!$E$2:$E$501,$G84)</f>
        <v/>
      </c>
      <c r="I84" s="79">
        <f>IFERROR(SUMIFS(Inventory_Clean!$J$2:$J$501,Inventory_Clean!$E$2:$E$501,$G84)/SUMIFS(Inventory_Clean!$O$2:$O$501,Inventory_Clean!$E$2:$E$501,$G84),0)</f>
        <v/>
      </c>
      <c r="J84" s="90">
        <f>H84+ROW()/1000000</f>
        <v/>
      </c>
      <c r="K84" s="76" t="inlineStr">
        <is>
          <t>Product 39</t>
        </is>
      </c>
      <c r="L84" s="77">
        <f>COUNTIFS(Inventory_Clean!$E$2:$E$501,$K84,Inventory_Clean!$U$2:$U$501,"Reorder Required")</f>
        <v/>
      </c>
      <c r="M84" s="77">
        <f>COUNTIFS(Inventory_Clean!$E$2:$E$501,$K84,Inventory_Clean!$U$2:$U$501,"Stock Sufficient")</f>
        <v/>
      </c>
      <c r="N84" s="91">
        <f>IFERROR(L84/(L84+M84),0)</f>
        <v/>
      </c>
      <c r="O84" s="90">
        <f>L84+ROW()/1000000</f>
        <v/>
      </c>
    </row>
    <row r="85">
      <c r="B85" s="76" t="inlineStr">
        <is>
          <t>Product 35</t>
        </is>
      </c>
      <c r="C85" s="89">
        <f>INDEX(Inventory_Clean!$F$2:$F$501,MATCH($B85,Inventory_Clean!$E$2:$E$501,0))</f>
        <v/>
      </c>
      <c r="D85" s="77">
        <f>SUMIFS(Inventory_Clean!$I$2:$I$501,Inventory_Clean!$E$2:$E$501,$B85)</f>
        <v/>
      </c>
      <c r="E85" s="90">
        <f>D85+ROW()/1000000</f>
        <v/>
      </c>
      <c r="G85" s="76" t="inlineStr">
        <is>
          <t>Product 11</t>
        </is>
      </c>
      <c r="H85" s="77">
        <f>SUMIFS(Inventory_Clean!$J$2:$J$501,Inventory_Clean!$E$2:$E$501,$G85)</f>
        <v/>
      </c>
      <c r="I85" s="79">
        <f>IFERROR(SUMIFS(Inventory_Clean!$J$2:$J$501,Inventory_Clean!$E$2:$E$501,$G85)/SUMIFS(Inventory_Clean!$O$2:$O$501,Inventory_Clean!$E$2:$E$501,$G85),0)</f>
        <v/>
      </c>
      <c r="J85" s="90">
        <f>H85+ROW()/1000000</f>
        <v/>
      </c>
      <c r="K85" s="76" t="inlineStr">
        <is>
          <t>Product 35</t>
        </is>
      </c>
      <c r="L85" s="77">
        <f>COUNTIFS(Inventory_Clean!$E$2:$E$501,$K85,Inventory_Clean!$U$2:$U$501,"Reorder Required")</f>
        <v/>
      </c>
      <c r="M85" s="77">
        <f>COUNTIFS(Inventory_Clean!$E$2:$E$501,$K85,Inventory_Clean!$U$2:$U$501,"Stock Sufficient")</f>
        <v/>
      </c>
      <c r="N85" s="91">
        <f>IFERROR(L85/(L85+M85),0)</f>
        <v/>
      </c>
      <c r="O85" s="90">
        <f>L85+ROW()/1000000</f>
        <v/>
      </c>
    </row>
    <row r="86">
      <c r="B86" s="76" t="inlineStr">
        <is>
          <t>Product 17</t>
        </is>
      </c>
      <c r="C86" s="89">
        <f>INDEX(Inventory_Clean!$F$2:$F$501,MATCH($B86,Inventory_Clean!$E$2:$E$501,0))</f>
        <v/>
      </c>
      <c r="D86" s="77">
        <f>SUMIFS(Inventory_Clean!$I$2:$I$501,Inventory_Clean!$E$2:$E$501,$B86)</f>
        <v/>
      </c>
      <c r="E86" s="90">
        <f>D86+ROW()/1000000</f>
        <v/>
      </c>
      <c r="G86" s="76" t="inlineStr">
        <is>
          <t>Product 49</t>
        </is>
      </c>
      <c r="H86" s="77">
        <f>SUMIFS(Inventory_Clean!$J$2:$J$501,Inventory_Clean!$E$2:$E$501,$G86)</f>
        <v/>
      </c>
      <c r="I86" s="79">
        <f>IFERROR(SUMIFS(Inventory_Clean!$J$2:$J$501,Inventory_Clean!$E$2:$E$501,$G86)/SUMIFS(Inventory_Clean!$O$2:$O$501,Inventory_Clean!$E$2:$E$501,$G86),0)</f>
        <v/>
      </c>
      <c r="J86" s="90">
        <f>H86+ROW()/1000000</f>
        <v/>
      </c>
      <c r="K86" s="76" t="inlineStr">
        <is>
          <t>Product 30</t>
        </is>
      </c>
      <c r="L86" s="77">
        <f>COUNTIFS(Inventory_Clean!$E$2:$E$501,$K86,Inventory_Clean!$U$2:$U$501,"Reorder Required")</f>
        <v/>
      </c>
      <c r="M86" s="77">
        <f>COUNTIFS(Inventory_Clean!$E$2:$E$501,$K86,Inventory_Clean!$U$2:$U$501,"Stock Sufficient")</f>
        <v/>
      </c>
      <c r="N86" s="91">
        <f>IFERROR(L86/(L86+M86),0)</f>
        <v/>
      </c>
      <c r="O86" s="90">
        <f>L86+ROW()/1000000</f>
        <v/>
      </c>
    </row>
    <row r="87">
      <c r="B87" s="76" t="inlineStr">
        <is>
          <t>Product 29</t>
        </is>
      </c>
      <c r="C87" s="89">
        <f>INDEX(Inventory_Clean!$F$2:$F$501,MATCH($B87,Inventory_Clean!$E$2:$E$501,0))</f>
        <v/>
      </c>
      <c r="D87" s="77">
        <f>SUMIFS(Inventory_Clean!$I$2:$I$501,Inventory_Clean!$E$2:$E$501,$B87)</f>
        <v/>
      </c>
      <c r="E87" s="90">
        <f>D87+ROW()/1000000</f>
        <v/>
      </c>
      <c r="G87" s="76" t="inlineStr">
        <is>
          <t>Product 8</t>
        </is>
      </c>
      <c r="H87" s="77">
        <f>SUMIFS(Inventory_Clean!$J$2:$J$501,Inventory_Clean!$E$2:$E$501,$G87)</f>
        <v/>
      </c>
      <c r="I87" s="79">
        <f>IFERROR(SUMIFS(Inventory_Clean!$J$2:$J$501,Inventory_Clean!$E$2:$E$501,$G87)/SUMIFS(Inventory_Clean!$O$2:$O$501,Inventory_Clean!$E$2:$E$501,$G87),0)</f>
        <v/>
      </c>
      <c r="J87" s="90">
        <f>H87+ROW()/1000000</f>
        <v/>
      </c>
      <c r="K87" s="76" t="inlineStr">
        <is>
          <t>Product 31</t>
        </is>
      </c>
      <c r="L87" s="77">
        <f>COUNTIFS(Inventory_Clean!$E$2:$E$501,$K87,Inventory_Clean!$U$2:$U$501,"Reorder Required")</f>
        <v/>
      </c>
      <c r="M87" s="77">
        <f>COUNTIFS(Inventory_Clean!$E$2:$E$501,$K87,Inventory_Clean!$U$2:$U$501,"Stock Sufficient")</f>
        <v/>
      </c>
      <c r="N87" s="91">
        <f>IFERROR(L87/(L87+M87),0)</f>
        <v/>
      </c>
      <c r="O87" s="90">
        <f>L87+ROW()/1000000</f>
        <v/>
      </c>
    </row>
    <row r="88">
      <c r="B88" s="76" t="inlineStr">
        <is>
          <t>Product 12</t>
        </is>
      </c>
      <c r="C88" s="89">
        <f>INDEX(Inventory_Clean!$F$2:$F$501,MATCH($B88,Inventory_Clean!$E$2:$E$501,0))</f>
        <v/>
      </c>
      <c r="D88" s="77">
        <f>SUMIFS(Inventory_Clean!$I$2:$I$501,Inventory_Clean!$E$2:$E$501,$B88)</f>
        <v/>
      </c>
      <c r="E88" s="90">
        <f>D88+ROW()/1000000</f>
        <v/>
      </c>
      <c r="G88" s="76" t="inlineStr">
        <is>
          <t>Product 20</t>
        </is>
      </c>
      <c r="H88" s="77">
        <f>SUMIFS(Inventory_Clean!$J$2:$J$501,Inventory_Clean!$E$2:$E$501,$G88)</f>
        <v/>
      </c>
      <c r="I88" s="79">
        <f>IFERROR(SUMIFS(Inventory_Clean!$J$2:$J$501,Inventory_Clean!$E$2:$E$501,$G88)/SUMIFS(Inventory_Clean!$O$2:$O$501,Inventory_Clean!$E$2:$E$501,$G88),0)</f>
        <v/>
      </c>
      <c r="J88" s="90">
        <f>H88+ROW()/1000000</f>
        <v/>
      </c>
      <c r="K88" s="76" t="inlineStr">
        <is>
          <t>Product 28</t>
        </is>
      </c>
      <c r="L88" s="77">
        <f>COUNTIFS(Inventory_Clean!$E$2:$E$501,$K88,Inventory_Clean!$U$2:$U$501,"Reorder Required")</f>
        <v/>
      </c>
      <c r="M88" s="77">
        <f>COUNTIFS(Inventory_Clean!$E$2:$E$501,$K88,Inventory_Clean!$U$2:$U$501,"Stock Sufficient")</f>
        <v/>
      </c>
      <c r="N88" s="91">
        <f>IFERROR(L88/(L88+M88),0)</f>
        <v/>
      </c>
      <c r="O88" s="90">
        <f>L88+ROW()/1000000</f>
        <v/>
      </c>
    </row>
    <row r="89">
      <c r="B89" s="76" t="inlineStr">
        <is>
          <t>Product 15</t>
        </is>
      </c>
      <c r="C89" s="89">
        <f>INDEX(Inventory_Clean!$F$2:$F$501,MATCH($B89,Inventory_Clean!$E$2:$E$501,0))</f>
        <v/>
      </c>
      <c r="D89" s="77">
        <f>SUMIFS(Inventory_Clean!$I$2:$I$501,Inventory_Clean!$E$2:$E$501,$B89)</f>
        <v/>
      </c>
      <c r="E89" s="90">
        <f>D89+ROW()/1000000</f>
        <v/>
      </c>
      <c r="G89" s="76" t="inlineStr">
        <is>
          <t>Product 28</t>
        </is>
      </c>
      <c r="H89" s="77">
        <f>SUMIFS(Inventory_Clean!$J$2:$J$501,Inventory_Clean!$E$2:$E$501,$G89)</f>
        <v/>
      </c>
      <c r="I89" s="79">
        <f>IFERROR(SUMIFS(Inventory_Clean!$J$2:$J$501,Inventory_Clean!$E$2:$E$501,$G89)/SUMIFS(Inventory_Clean!$O$2:$O$501,Inventory_Clean!$E$2:$E$501,$G89),0)</f>
        <v/>
      </c>
      <c r="J89" s="90">
        <f>H89+ROW()/1000000</f>
        <v/>
      </c>
      <c r="K89" s="76" t="inlineStr">
        <is>
          <t>Product 47</t>
        </is>
      </c>
      <c r="L89" s="77">
        <f>COUNTIFS(Inventory_Clean!$E$2:$E$501,$K89,Inventory_Clean!$U$2:$U$501,"Reorder Required")</f>
        <v/>
      </c>
      <c r="M89" s="77">
        <f>COUNTIFS(Inventory_Clean!$E$2:$E$501,$K89,Inventory_Clean!$U$2:$U$501,"Stock Sufficient")</f>
        <v/>
      </c>
      <c r="N89" s="91">
        <f>IFERROR(L89/(L89+M89),0)</f>
        <v/>
      </c>
      <c r="O89" s="90">
        <f>L89+ROW()/1000000</f>
        <v/>
      </c>
    </row>
    <row r="90">
      <c r="B90" s="76" t="inlineStr">
        <is>
          <t>Product 48</t>
        </is>
      </c>
      <c r="C90" s="89">
        <f>INDEX(Inventory_Clean!$F$2:$F$501,MATCH($B90,Inventory_Clean!$E$2:$E$501,0))</f>
        <v/>
      </c>
      <c r="D90" s="77">
        <f>SUMIFS(Inventory_Clean!$I$2:$I$501,Inventory_Clean!$E$2:$E$501,$B90)</f>
        <v/>
      </c>
      <c r="E90" s="90">
        <f>D90+ROW()/1000000</f>
        <v/>
      </c>
      <c r="G90" s="76" t="inlineStr">
        <is>
          <t>Product 45</t>
        </is>
      </c>
      <c r="H90" s="77">
        <f>SUMIFS(Inventory_Clean!$J$2:$J$501,Inventory_Clean!$E$2:$E$501,$G90)</f>
        <v/>
      </c>
      <c r="I90" s="79">
        <f>IFERROR(SUMIFS(Inventory_Clean!$J$2:$J$501,Inventory_Clean!$E$2:$E$501,$G90)/SUMIFS(Inventory_Clean!$O$2:$O$501,Inventory_Clean!$E$2:$E$501,$G90),0)</f>
        <v/>
      </c>
      <c r="J90" s="90">
        <f>H90+ROW()/1000000</f>
        <v/>
      </c>
      <c r="K90" s="76" t="inlineStr">
        <is>
          <t>Product 6</t>
        </is>
      </c>
      <c r="L90" s="77">
        <f>COUNTIFS(Inventory_Clean!$E$2:$E$501,$K90,Inventory_Clean!$U$2:$U$501,"Reorder Required")</f>
        <v/>
      </c>
      <c r="M90" s="77">
        <f>COUNTIFS(Inventory_Clean!$E$2:$E$501,$K90,Inventory_Clean!$U$2:$U$501,"Stock Sufficient")</f>
        <v/>
      </c>
      <c r="N90" s="91">
        <f>IFERROR(L90/(L90+M90),0)</f>
        <v/>
      </c>
      <c r="O90" s="90">
        <f>L90+ROW()/1000000</f>
        <v/>
      </c>
    </row>
    <row r="91">
      <c r="B91" s="76" t="inlineStr">
        <is>
          <t>Product 45</t>
        </is>
      </c>
      <c r="C91" s="89">
        <f>INDEX(Inventory_Clean!$F$2:$F$501,MATCH($B91,Inventory_Clean!$E$2:$E$501,0))</f>
        <v/>
      </c>
      <c r="D91" s="77">
        <f>SUMIFS(Inventory_Clean!$I$2:$I$501,Inventory_Clean!$E$2:$E$501,$B91)</f>
        <v/>
      </c>
      <c r="E91" s="90">
        <f>D91+ROW()/1000000</f>
        <v/>
      </c>
      <c r="G91" s="76" t="inlineStr">
        <is>
          <t>Product 6</t>
        </is>
      </c>
      <c r="H91" s="77">
        <f>SUMIFS(Inventory_Clean!$J$2:$J$501,Inventory_Clean!$E$2:$E$501,$G91)</f>
        <v/>
      </c>
      <c r="I91" s="79">
        <f>IFERROR(SUMIFS(Inventory_Clean!$J$2:$J$501,Inventory_Clean!$E$2:$E$501,$G91)/SUMIFS(Inventory_Clean!$O$2:$O$501,Inventory_Clean!$E$2:$E$501,$G91),0)</f>
        <v/>
      </c>
      <c r="J91" s="90">
        <f>H91+ROW()/1000000</f>
        <v/>
      </c>
      <c r="K91" s="76" t="inlineStr">
        <is>
          <t>Product 7</t>
        </is>
      </c>
      <c r="L91" s="77">
        <f>COUNTIFS(Inventory_Clean!$E$2:$E$501,$K91,Inventory_Clean!$U$2:$U$501,"Reorder Required")</f>
        <v/>
      </c>
      <c r="M91" s="77">
        <f>COUNTIFS(Inventory_Clean!$E$2:$E$501,$K91,Inventory_Clean!$U$2:$U$501,"Stock Sufficient")</f>
        <v/>
      </c>
      <c r="N91" s="91">
        <f>IFERROR(L91/(L91+M91),0)</f>
        <v/>
      </c>
      <c r="O91" s="90">
        <f>L91+ROW()/1000000</f>
        <v/>
      </c>
    </row>
    <row r="92">
      <c r="B92" s="80" t="inlineStr">
        <is>
          <t>Grand Total</t>
        </is>
      </c>
      <c r="C92" s="95" t="n"/>
      <c r="D92" s="81">
        <f>SUM(D42:D91)</f>
        <v/>
      </c>
      <c r="E92" s="96" t="n"/>
      <c r="G92" s="80" t="inlineStr">
        <is>
          <t>Grand Total</t>
        </is>
      </c>
      <c r="H92" s="81">
        <f>SUM(H42:H91)</f>
        <v/>
      </c>
      <c r="I92" s="83">
        <f>IFERROR(SUM(Inventory_Clean!$J$2:$J$501)/SUM(Inventory_Clean!$O$2:$O$501),0)</f>
        <v/>
      </c>
      <c r="J92" s="96" t="n"/>
      <c r="K92" s="80" t="inlineStr">
        <is>
          <t>Grand Total</t>
        </is>
      </c>
      <c r="L92" s="81">
        <f>SUM(L42:L91)</f>
        <v/>
      </c>
      <c r="M92" s="81">
        <f>SUM(M42:M91)</f>
        <v/>
      </c>
      <c r="N92" s="97">
        <f>IFERROR(L92/(L92+M92),0)</f>
        <v/>
      </c>
      <c r="O92" s="96" t="n"/>
    </row>
  </sheetData>
  <mergeCells count="2">
    <mergeCell ref="B1:V1"/>
    <mergeCell ref="B2:V2"/>
  </mergeCells>
  <conditionalFormatting sqref="C7:C16">
    <cfRule type="colorScale" priority="1">
      <colorScale>
        <cfvo type="min"/>
        <cfvo type="max"/>
        <color rgb="00FFFFFF"/>
        <color rgb="00E0B25A"/>
      </colorScale>
    </cfRule>
  </conditionalFormatting>
  <conditionalFormatting sqref="G7:G16">
    <cfRule type="colorScale" priority="2">
      <colorScale>
        <cfvo type="min"/>
        <cfvo type="max"/>
        <color rgb="00FFFFFF"/>
        <color rgb="00E0B25A"/>
      </colorScale>
    </cfRule>
  </conditionalFormatting>
  <conditionalFormatting sqref="K7:K16">
    <cfRule type="colorScale" priority="3">
      <colorScale>
        <cfvo type="min"/>
        <cfvo type="max"/>
        <color rgb="00FFFFFF"/>
        <color rgb="00E0B25A"/>
      </colorScale>
    </cfRule>
  </conditionalFormatting>
  <conditionalFormatting sqref="P7:P16">
    <cfRule type="colorScale" priority="4">
      <colorScale>
        <cfvo type="min"/>
        <cfvo type="max"/>
        <color rgb="00FFFFFF"/>
        <color rgb="00E0B25A"/>
      </colorScale>
    </cfRule>
  </conditionalFormatting>
  <conditionalFormatting sqref="D42:D91">
    <cfRule type="colorScale" priority="5">
      <colorScale>
        <cfvo type="min"/>
        <cfvo type="max"/>
        <color rgb="00FFFFFF"/>
        <color rgb="00E0B25A"/>
      </colorScale>
    </cfRule>
  </conditionalFormatting>
  <conditionalFormatting sqref="H42:H91">
    <cfRule type="colorScale" priority="6">
      <colorScale>
        <cfvo type="min"/>
        <cfvo type="max"/>
        <color rgb="00FFFFFF"/>
        <color rgb="00E0B25A"/>
      </colorScale>
    </cfRule>
  </conditionalFormatting>
  <conditionalFormatting sqref="L42:L91">
    <cfRule type="colorScale" priority="7">
      <colorScale>
        <cfvo type="min"/>
        <cfvo type="max"/>
        <color rgb="00FFFFFF"/>
        <color rgb="00E0B25A"/>
      </colorScale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tabColor rgb="003F8F7B"/>
    <outlinePr summaryBelow="1" summaryRight="1"/>
    <pageSetUpPr/>
  </sheetPr>
  <dimension ref="A1:W501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10" customWidth="1" min="2" max="2"/>
    <col width="24" customWidth="1" min="3" max="3"/>
    <col width="11" customWidth="1" min="4" max="4"/>
    <col width="16" customWidth="1" min="5" max="5"/>
    <col width="13" customWidth="1" min="6" max="6"/>
    <col width="10" customWidth="1" min="7" max="7"/>
    <col width="10" customWidth="1" min="8" max="8"/>
    <col width="10" customWidth="1" min="9" max="9"/>
    <col width="9" customWidth="1" min="10" max="10"/>
    <col width="10" customWidth="1" min="11" max="11"/>
    <col width="12" customWidth="1" min="12" max="12"/>
    <col width="12" customWidth="1" min="13" max="13"/>
    <col width="14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1" customWidth="1" min="20" max="20"/>
    <col width="16" customWidth="1" min="21" max="21"/>
    <col width="10" customWidth="1" min="22" max="22"/>
    <col width="20" customWidth="1" min="23" max="23"/>
  </cols>
  <sheetData>
    <row r="1" ht="32" customHeight="1">
      <c r="A1" s="74" t="inlineStr">
        <is>
          <t>Inventory_ID</t>
        </is>
      </c>
      <c r="B1" s="74" t="inlineStr">
        <is>
          <t>Outlet_ID</t>
        </is>
      </c>
      <c r="C1" s="74" t="inlineStr">
        <is>
          <t>Outlet_Name</t>
        </is>
      </c>
      <c r="D1" s="74" t="inlineStr">
        <is>
          <t>Product_ID</t>
        </is>
      </c>
      <c r="E1" s="74" t="inlineStr">
        <is>
          <t>Product_Name</t>
        </is>
      </c>
      <c r="F1" s="74" t="inlineStr">
        <is>
          <t>Category</t>
        </is>
      </c>
      <c r="G1" s="74" t="inlineStr">
        <is>
          <t>Opening_Stock</t>
        </is>
      </c>
      <c r="H1" s="74" t="inlineStr">
        <is>
          <t>Received_Stock</t>
        </is>
      </c>
      <c r="I1" s="74" t="inlineStr">
        <is>
          <t>Units_Sold</t>
        </is>
      </c>
      <c r="J1" s="74" t="inlineStr">
        <is>
          <t>Wastage</t>
        </is>
      </c>
      <c r="K1" s="74" t="inlineStr">
        <is>
          <t>Reorder_Level</t>
        </is>
      </c>
      <c r="L1" s="74" t="inlineStr">
        <is>
          <t>Supplier_Lead_Time_Days</t>
        </is>
      </c>
      <c r="M1" s="74" t="inlineStr">
        <is>
          <t>Closing_Stock_Source</t>
        </is>
      </c>
      <c r="N1" s="74" t="inlineStr">
        <is>
          <t>Status_Source</t>
        </is>
      </c>
      <c r="O1" s="98" t="inlineStr">
        <is>
          <t>Stock_Available</t>
        </is>
      </c>
      <c r="P1" s="98" t="inlineStr">
        <is>
          <t>Closing_Stock</t>
        </is>
      </c>
      <c r="Q1" s="98" t="inlineStr">
        <is>
          <t>Closing_Stock_Adj</t>
        </is>
      </c>
      <c r="R1" s="98" t="inlineStr">
        <is>
          <t>Stock_Shortfall</t>
        </is>
      </c>
      <c r="S1" s="98" t="inlineStr">
        <is>
          <t>Wastage_%</t>
        </is>
      </c>
      <c r="T1" s="98" t="inlineStr">
        <is>
          <t>Stock_Utilization_%</t>
        </is>
      </c>
      <c r="U1" s="98" t="inlineStr">
        <is>
          <t>Reorder_Status</t>
        </is>
      </c>
      <c r="V1" s="98" t="inlineStr">
        <is>
          <t>Data_Check</t>
        </is>
      </c>
      <c r="W1" s="74" t="inlineStr">
        <is>
          <t>Remarks</t>
        </is>
      </c>
    </row>
    <row r="2">
      <c r="A2" s="99" t="inlineStr">
        <is>
          <t>INV00001</t>
        </is>
      </c>
      <c r="B2" s="99" t="inlineStr">
        <is>
          <t>OUT001</t>
        </is>
      </c>
      <c r="C2" s="99">
        <f>INDEX(Lookup!$B$2:$B$11,MATCH(B2,Lookup!$A$2:$A$11,0))</f>
        <v/>
      </c>
      <c r="D2" s="99" t="inlineStr">
        <is>
          <t>BP001</t>
        </is>
      </c>
      <c r="E2" s="99">
        <f>INDEX(Lookup!$E$2:$E$51,MATCH(D2,Lookup!$D$2:$D$51,0))</f>
        <v/>
      </c>
      <c r="F2" s="99">
        <f>INDEX(Lookup!$F$2:$F$51,MATCH(D2,Lookup!$D$2:$D$51,0))</f>
        <v/>
      </c>
      <c r="G2" s="100" t="n">
        <v>51</v>
      </c>
      <c r="H2" s="100" t="n">
        <v>71</v>
      </c>
      <c r="I2" s="100" t="n">
        <v>174</v>
      </c>
      <c r="J2" s="100" t="n">
        <v>0</v>
      </c>
      <c r="K2" s="100" t="n">
        <v>31</v>
      </c>
      <c r="L2" s="100" t="n">
        <v>1</v>
      </c>
      <c r="M2" s="100" t="n">
        <v>0</v>
      </c>
      <c r="N2" s="99" t="inlineStr">
        <is>
          <t>Reorder Required</t>
        </is>
      </c>
      <c r="O2" s="100">
        <f>G2+H2</f>
        <v/>
      </c>
      <c r="P2" s="100">
        <f>G2+H2-I2-J2</f>
        <v/>
      </c>
      <c r="Q2" s="100">
        <f>MAX(0,P2)</f>
        <v/>
      </c>
      <c r="R2" s="100">
        <f>MAX(0,-P2)</f>
        <v/>
      </c>
      <c r="S2" s="101">
        <f>IFERROR(J2/O2,0)</f>
        <v/>
      </c>
      <c r="T2" s="101">
        <f>IFERROR(I2/O2,0)</f>
        <v/>
      </c>
      <c r="U2" s="102">
        <f>IF(P2&lt;=K2,"Reorder Required","Stock Sufficient")</f>
        <v/>
      </c>
      <c r="V2" s="102">
        <f>IF(AND(Q2=M2,(U2="Reorder Required")=(N2="Reorder Required")),"OK","Mismatch")</f>
        <v/>
      </c>
      <c r="W2" s="99" t="inlineStr">
        <is>
          <t>Restock immediately</t>
        </is>
      </c>
    </row>
    <row r="3">
      <c r="A3" s="99" t="inlineStr">
        <is>
          <t>INV00002</t>
        </is>
      </c>
      <c r="B3" s="99" t="inlineStr">
        <is>
          <t>OUT001</t>
        </is>
      </c>
      <c r="C3" s="99">
        <f>INDEX(Lookup!$B$2:$B$11,MATCH(B3,Lookup!$A$2:$A$11,0))</f>
        <v/>
      </c>
      <c r="D3" s="99" t="inlineStr">
        <is>
          <t>BP002</t>
        </is>
      </c>
      <c r="E3" s="99">
        <f>INDEX(Lookup!$E$2:$E$51,MATCH(D3,Lookup!$D$2:$D$51,0))</f>
        <v/>
      </c>
      <c r="F3" s="99">
        <f>INDEX(Lookup!$F$2:$F$51,MATCH(D3,Lookup!$D$2:$D$51,0))</f>
        <v/>
      </c>
      <c r="G3" s="100" t="n">
        <v>127</v>
      </c>
      <c r="H3" s="100" t="n">
        <v>96</v>
      </c>
      <c r="I3" s="100" t="n">
        <v>72</v>
      </c>
      <c r="J3" s="100" t="n">
        <v>2</v>
      </c>
      <c r="K3" s="100" t="n">
        <v>19</v>
      </c>
      <c r="L3" s="100" t="n">
        <v>4</v>
      </c>
      <c r="M3" s="100" t="n">
        <v>149</v>
      </c>
      <c r="N3" s="99" t="inlineStr">
        <is>
          <t>Healthy</t>
        </is>
      </c>
      <c r="O3" s="100">
        <f>G3+H3</f>
        <v/>
      </c>
      <c r="P3" s="100">
        <f>G3+H3-I3-J3</f>
        <v/>
      </c>
      <c r="Q3" s="100">
        <f>MAX(0,P3)</f>
        <v/>
      </c>
      <c r="R3" s="100">
        <f>MAX(0,-P3)</f>
        <v/>
      </c>
      <c r="S3" s="101">
        <f>IFERROR(J3/O3,0)</f>
        <v/>
      </c>
      <c r="T3" s="101">
        <f>IFERROR(I3/O3,0)</f>
        <v/>
      </c>
      <c r="U3" s="102">
        <f>IF(P3&lt;=K3,"Reorder Required","Stock Sufficient")</f>
        <v/>
      </c>
      <c r="V3" s="102">
        <f>IF(AND(Q3=M3,(U3="Reorder Required")=(N3="Reorder Required")),"OK","Mismatch")</f>
        <v/>
      </c>
      <c r="W3" s="99" t="n"/>
    </row>
    <row r="4">
      <c r="A4" s="99" t="inlineStr">
        <is>
          <t>INV00003</t>
        </is>
      </c>
      <c r="B4" s="99" t="inlineStr">
        <is>
          <t>OUT001</t>
        </is>
      </c>
      <c r="C4" s="99">
        <f>INDEX(Lookup!$B$2:$B$11,MATCH(B4,Lookup!$A$2:$A$11,0))</f>
        <v/>
      </c>
      <c r="D4" s="99" t="inlineStr">
        <is>
          <t>BP003</t>
        </is>
      </c>
      <c r="E4" s="99">
        <f>INDEX(Lookup!$E$2:$E$51,MATCH(D4,Lookup!$D$2:$D$51,0))</f>
        <v/>
      </c>
      <c r="F4" s="99">
        <f>INDEX(Lookup!$F$2:$F$51,MATCH(D4,Lookup!$D$2:$D$51,0))</f>
        <v/>
      </c>
      <c r="G4" s="100" t="n">
        <v>52</v>
      </c>
      <c r="H4" s="100" t="n">
        <v>22</v>
      </c>
      <c r="I4" s="100" t="n">
        <v>172</v>
      </c>
      <c r="J4" s="100" t="n">
        <v>3</v>
      </c>
      <c r="K4" s="100" t="n">
        <v>17</v>
      </c>
      <c r="L4" s="100" t="n">
        <v>5</v>
      </c>
      <c r="M4" s="100" t="n">
        <v>0</v>
      </c>
      <c r="N4" s="99" t="inlineStr">
        <is>
          <t>Reorder Required</t>
        </is>
      </c>
      <c r="O4" s="100">
        <f>G4+H4</f>
        <v/>
      </c>
      <c r="P4" s="100">
        <f>G4+H4-I4-J4</f>
        <v/>
      </c>
      <c r="Q4" s="100">
        <f>MAX(0,P4)</f>
        <v/>
      </c>
      <c r="R4" s="100">
        <f>MAX(0,-P4)</f>
        <v/>
      </c>
      <c r="S4" s="101">
        <f>IFERROR(J4/O4,0)</f>
        <v/>
      </c>
      <c r="T4" s="101">
        <f>IFERROR(I4/O4,0)</f>
        <v/>
      </c>
      <c r="U4" s="102">
        <f>IF(P4&lt;=K4,"Reorder Required","Stock Sufficient")</f>
        <v/>
      </c>
      <c r="V4" s="102">
        <f>IF(AND(Q4=M4,(U4="Reorder Required")=(N4="Reorder Required")),"OK","Mismatch")</f>
        <v/>
      </c>
      <c r="W4" s="99" t="inlineStr">
        <is>
          <t>Restock immediately</t>
        </is>
      </c>
    </row>
    <row r="5">
      <c r="A5" s="99" t="inlineStr">
        <is>
          <t>INV00004</t>
        </is>
      </c>
      <c r="B5" s="99" t="inlineStr">
        <is>
          <t>OUT001</t>
        </is>
      </c>
      <c r="C5" s="99">
        <f>INDEX(Lookup!$B$2:$B$11,MATCH(B5,Lookup!$A$2:$A$11,0))</f>
        <v/>
      </c>
      <c r="D5" s="99" t="inlineStr">
        <is>
          <t>BP004</t>
        </is>
      </c>
      <c r="E5" s="99">
        <f>INDEX(Lookup!$E$2:$E$51,MATCH(D5,Lookup!$D$2:$D$51,0))</f>
        <v/>
      </c>
      <c r="F5" s="99">
        <f>INDEX(Lookup!$F$2:$F$51,MATCH(D5,Lookup!$D$2:$D$51,0))</f>
        <v/>
      </c>
      <c r="G5" s="100" t="n">
        <v>40</v>
      </c>
      <c r="H5" s="100" t="n">
        <v>42</v>
      </c>
      <c r="I5" s="100" t="n">
        <v>144</v>
      </c>
      <c r="J5" s="100" t="n">
        <v>1</v>
      </c>
      <c r="K5" s="100" t="n">
        <v>21</v>
      </c>
      <c r="L5" s="100" t="n">
        <v>2</v>
      </c>
      <c r="M5" s="100" t="n">
        <v>0</v>
      </c>
      <c r="N5" s="99" t="inlineStr">
        <is>
          <t>Reorder Required</t>
        </is>
      </c>
      <c r="O5" s="100">
        <f>G5+H5</f>
        <v/>
      </c>
      <c r="P5" s="100">
        <f>G5+H5-I5-J5</f>
        <v/>
      </c>
      <c r="Q5" s="100">
        <f>MAX(0,P5)</f>
        <v/>
      </c>
      <c r="R5" s="100">
        <f>MAX(0,-P5)</f>
        <v/>
      </c>
      <c r="S5" s="101">
        <f>IFERROR(J5/O5,0)</f>
        <v/>
      </c>
      <c r="T5" s="101">
        <f>IFERROR(I5/O5,0)</f>
        <v/>
      </c>
      <c r="U5" s="102">
        <f>IF(P5&lt;=K5,"Reorder Required","Stock Sufficient")</f>
        <v/>
      </c>
      <c r="V5" s="102">
        <f>IF(AND(Q5=M5,(U5="Reorder Required")=(N5="Reorder Required")),"OK","Mismatch")</f>
        <v/>
      </c>
      <c r="W5" s="99" t="inlineStr">
        <is>
          <t>Restock immediately</t>
        </is>
      </c>
    </row>
    <row r="6">
      <c r="A6" s="99" t="inlineStr">
        <is>
          <t>INV00005</t>
        </is>
      </c>
      <c r="B6" s="99" t="inlineStr">
        <is>
          <t>OUT001</t>
        </is>
      </c>
      <c r="C6" s="99">
        <f>INDEX(Lookup!$B$2:$B$11,MATCH(B6,Lookup!$A$2:$A$11,0))</f>
        <v/>
      </c>
      <c r="D6" s="99" t="inlineStr">
        <is>
          <t>BP005</t>
        </is>
      </c>
      <c r="E6" s="99">
        <f>INDEX(Lookup!$E$2:$E$51,MATCH(D6,Lookup!$D$2:$D$51,0))</f>
        <v/>
      </c>
      <c r="F6" s="99">
        <f>INDEX(Lookup!$F$2:$F$51,MATCH(D6,Lookup!$D$2:$D$51,0))</f>
        <v/>
      </c>
      <c r="G6" s="100" t="n">
        <v>104</v>
      </c>
      <c r="H6" s="100" t="n">
        <v>36</v>
      </c>
      <c r="I6" s="100" t="n">
        <v>98</v>
      </c>
      <c r="J6" s="100" t="n">
        <v>3</v>
      </c>
      <c r="K6" s="100" t="n">
        <v>38</v>
      </c>
      <c r="L6" s="100" t="n">
        <v>3</v>
      </c>
      <c r="M6" s="100" t="n">
        <v>39</v>
      </c>
      <c r="N6" s="99" t="inlineStr">
        <is>
          <t>Healthy</t>
        </is>
      </c>
      <c r="O6" s="100">
        <f>G6+H6</f>
        <v/>
      </c>
      <c r="P6" s="100">
        <f>G6+H6-I6-J6</f>
        <v/>
      </c>
      <c r="Q6" s="100">
        <f>MAX(0,P6)</f>
        <v/>
      </c>
      <c r="R6" s="100">
        <f>MAX(0,-P6)</f>
        <v/>
      </c>
      <c r="S6" s="101">
        <f>IFERROR(J6/O6,0)</f>
        <v/>
      </c>
      <c r="T6" s="101">
        <f>IFERROR(I6/O6,0)</f>
        <v/>
      </c>
      <c r="U6" s="102">
        <f>IF(P6&lt;=K6,"Reorder Required","Stock Sufficient")</f>
        <v/>
      </c>
      <c r="V6" s="102">
        <f>IF(AND(Q6=M6,(U6="Reorder Required")=(N6="Reorder Required")),"OK","Mismatch")</f>
        <v/>
      </c>
      <c r="W6" s="99" t="n"/>
    </row>
    <row r="7">
      <c r="A7" s="99" t="inlineStr">
        <is>
          <t>INV00006</t>
        </is>
      </c>
      <c r="B7" s="99" t="inlineStr">
        <is>
          <t>OUT001</t>
        </is>
      </c>
      <c r="C7" s="99">
        <f>INDEX(Lookup!$B$2:$B$11,MATCH(B7,Lookup!$A$2:$A$11,0))</f>
        <v/>
      </c>
      <c r="D7" s="99" t="inlineStr">
        <is>
          <t>BP006</t>
        </is>
      </c>
      <c r="E7" s="99">
        <f>INDEX(Lookup!$E$2:$E$51,MATCH(D7,Lookup!$D$2:$D$51,0))</f>
        <v/>
      </c>
      <c r="F7" s="99">
        <f>INDEX(Lookup!$F$2:$F$51,MATCH(D7,Lookup!$D$2:$D$51,0))</f>
        <v/>
      </c>
      <c r="G7" s="100" t="n">
        <v>111</v>
      </c>
      <c r="H7" s="100" t="n">
        <v>25</v>
      </c>
      <c r="I7" s="100" t="n">
        <v>95</v>
      </c>
      <c r="J7" s="100" t="n">
        <v>2</v>
      </c>
      <c r="K7" s="100" t="n">
        <v>32</v>
      </c>
      <c r="L7" s="100" t="n">
        <v>5</v>
      </c>
      <c r="M7" s="100" t="n">
        <v>39</v>
      </c>
      <c r="N7" s="99" t="inlineStr">
        <is>
          <t>Healthy</t>
        </is>
      </c>
      <c r="O7" s="100">
        <f>G7+H7</f>
        <v/>
      </c>
      <c r="P7" s="100">
        <f>G7+H7-I7-J7</f>
        <v/>
      </c>
      <c r="Q7" s="100">
        <f>MAX(0,P7)</f>
        <v/>
      </c>
      <c r="R7" s="100">
        <f>MAX(0,-P7)</f>
        <v/>
      </c>
      <c r="S7" s="101">
        <f>IFERROR(J7/O7,0)</f>
        <v/>
      </c>
      <c r="T7" s="101">
        <f>IFERROR(I7/O7,0)</f>
        <v/>
      </c>
      <c r="U7" s="102">
        <f>IF(P7&lt;=K7,"Reorder Required","Stock Sufficient")</f>
        <v/>
      </c>
      <c r="V7" s="102">
        <f>IF(AND(Q7=M7,(U7="Reorder Required")=(N7="Reorder Required")),"OK","Mismatch")</f>
        <v/>
      </c>
      <c r="W7" s="99" t="n"/>
    </row>
    <row r="8">
      <c r="A8" s="99" t="inlineStr">
        <is>
          <t>INV00007</t>
        </is>
      </c>
      <c r="B8" s="99" t="inlineStr">
        <is>
          <t>OUT001</t>
        </is>
      </c>
      <c r="C8" s="99">
        <f>INDEX(Lookup!$B$2:$B$11,MATCH(B8,Lookup!$A$2:$A$11,0))</f>
        <v/>
      </c>
      <c r="D8" s="99" t="inlineStr">
        <is>
          <t>BP007</t>
        </is>
      </c>
      <c r="E8" s="99">
        <f>INDEX(Lookup!$E$2:$E$51,MATCH(D8,Lookup!$D$2:$D$51,0))</f>
        <v/>
      </c>
      <c r="F8" s="99">
        <f>INDEX(Lookup!$F$2:$F$51,MATCH(D8,Lookup!$D$2:$D$51,0))</f>
        <v/>
      </c>
      <c r="G8" s="100" t="n">
        <v>66</v>
      </c>
      <c r="H8" s="100" t="n">
        <v>29</v>
      </c>
      <c r="I8" s="100" t="n">
        <v>66</v>
      </c>
      <c r="J8" s="100" t="n">
        <v>2</v>
      </c>
      <c r="K8" s="100" t="n">
        <v>18</v>
      </c>
      <c r="L8" s="100" t="n">
        <v>4</v>
      </c>
      <c r="M8" s="100" t="n">
        <v>27</v>
      </c>
      <c r="N8" s="99" t="inlineStr">
        <is>
          <t>Healthy</t>
        </is>
      </c>
      <c r="O8" s="100">
        <f>G8+H8</f>
        <v/>
      </c>
      <c r="P8" s="100">
        <f>G8+H8-I8-J8</f>
        <v/>
      </c>
      <c r="Q8" s="100">
        <f>MAX(0,P8)</f>
        <v/>
      </c>
      <c r="R8" s="100">
        <f>MAX(0,-P8)</f>
        <v/>
      </c>
      <c r="S8" s="101">
        <f>IFERROR(J8/O8,0)</f>
        <v/>
      </c>
      <c r="T8" s="101">
        <f>IFERROR(I8/O8,0)</f>
        <v/>
      </c>
      <c r="U8" s="102">
        <f>IF(P8&lt;=K8,"Reorder Required","Stock Sufficient")</f>
        <v/>
      </c>
      <c r="V8" s="102">
        <f>IF(AND(Q8=M8,(U8="Reorder Required")=(N8="Reorder Required")),"OK","Mismatch")</f>
        <v/>
      </c>
      <c r="W8" s="99" t="n"/>
    </row>
    <row r="9">
      <c r="A9" s="99" t="inlineStr">
        <is>
          <t>INV00008</t>
        </is>
      </c>
      <c r="B9" s="99" t="inlineStr">
        <is>
          <t>OUT001</t>
        </is>
      </c>
      <c r="C9" s="99">
        <f>INDEX(Lookup!$B$2:$B$11,MATCH(B9,Lookup!$A$2:$A$11,0))</f>
        <v/>
      </c>
      <c r="D9" s="99" t="inlineStr">
        <is>
          <t>BP008</t>
        </is>
      </c>
      <c r="E9" s="99">
        <f>INDEX(Lookup!$E$2:$E$51,MATCH(D9,Lookup!$D$2:$D$51,0))</f>
        <v/>
      </c>
      <c r="F9" s="99">
        <f>INDEX(Lookup!$F$2:$F$51,MATCH(D9,Lookup!$D$2:$D$51,0))</f>
        <v/>
      </c>
      <c r="G9" s="100" t="n">
        <v>96</v>
      </c>
      <c r="H9" s="100" t="n">
        <v>74</v>
      </c>
      <c r="I9" s="100" t="n">
        <v>137</v>
      </c>
      <c r="J9" s="100" t="n">
        <v>1</v>
      </c>
      <c r="K9" s="100" t="n">
        <v>32</v>
      </c>
      <c r="L9" s="100" t="n">
        <v>4</v>
      </c>
      <c r="M9" s="100" t="n">
        <v>32</v>
      </c>
      <c r="N9" s="99" t="inlineStr">
        <is>
          <t>Reorder Required</t>
        </is>
      </c>
      <c r="O9" s="100">
        <f>G9+H9</f>
        <v/>
      </c>
      <c r="P9" s="100">
        <f>G9+H9-I9-J9</f>
        <v/>
      </c>
      <c r="Q9" s="100">
        <f>MAX(0,P9)</f>
        <v/>
      </c>
      <c r="R9" s="100">
        <f>MAX(0,-P9)</f>
        <v/>
      </c>
      <c r="S9" s="101">
        <f>IFERROR(J9/O9,0)</f>
        <v/>
      </c>
      <c r="T9" s="101">
        <f>IFERROR(I9/O9,0)</f>
        <v/>
      </c>
      <c r="U9" s="102">
        <f>IF(P9&lt;=K9,"Reorder Required","Stock Sufficient")</f>
        <v/>
      </c>
      <c r="V9" s="102">
        <f>IF(AND(Q9=M9,(U9="Reorder Required")=(N9="Reorder Required")),"OK","Mismatch")</f>
        <v/>
      </c>
      <c r="W9" s="99" t="inlineStr">
        <is>
          <t>Restock immediately</t>
        </is>
      </c>
    </row>
    <row r="10">
      <c r="A10" s="99" t="inlineStr">
        <is>
          <t>INV00009</t>
        </is>
      </c>
      <c r="B10" s="99" t="inlineStr">
        <is>
          <t>OUT001</t>
        </is>
      </c>
      <c r="C10" s="99">
        <f>INDEX(Lookup!$B$2:$B$11,MATCH(B10,Lookup!$A$2:$A$11,0))</f>
        <v/>
      </c>
      <c r="D10" s="99" t="inlineStr">
        <is>
          <t>BP009</t>
        </is>
      </c>
      <c r="E10" s="99">
        <f>INDEX(Lookup!$E$2:$E$51,MATCH(D10,Lookup!$D$2:$D$51,0))</f>
        <v/>
      </c>
      <c r="F10" s="99">
        <f>INDEX(Lookup!$F$2:$F$51,MATCH(D10,Lookup!$D$2:$D$51,0))</f>
        <v/>
      </c>
      <c r="G10" s="100" t="n">
        <v>54</v>
      </c>
      <c r="H10" s="100" t="n">
        <v>84</v>
      </c>
      <c r="I10" s="100" t="n">
        <v>159</v>
      </c>
      <c r="J10" s="100" t="n">
        <v>1</v>
      </c>
      <c r="K10" s="100" t="n">
        <v>37</v>
      </c>
      <c r="L10" s="100" t="n">
        <v>3</v>
      </c>
      <c r="M10" s="100" t="n">
        <v>0</v>
      </c>
      <c r="N10" s="99" t="inlineStr">
        <is>
          <t>Reorder Required</t>
        </is>
      </c>
      <c r="O10" s="100">
        <f>G10+H10</f>
        <v/>
      </c>
      <c r="P10" s="100">
        <f>G10+H10-I10-J10</f>
        <v/>
      </c>
      <c r="Q10" s="100">
        <f>MAX(0,P10)</f>
        <v/>
      </c>
      <c r="R10" s="100">
        <f>MAX(0,-P10)</f>
        <v/>
      </c>
      <c r="S10" s="101">
        <f>IFERROR(J10/O10,0)</f>
        <v/>
      </c>
      <c r="T10" s="101">
        <f>IFERROR(I10/O10,0)</f>
        <v/>
      </c>
      <c r="U10" s="102">
        <f>IF(P10&lt;=K10,"Reorder Required","Stock Sufficient")</f>
        <v/>
      </c>
      <c r="V10" s="102">
        <f>IF(AND(Q10=M10,(U10="Reorder Required")=(N10="Reorder Required")),"OK","Mismatch")</f>
        <v/>
      </c>
      <c r="W10" s="99" t="inlineStr">
        <is>
          <t>Restock immediately</t>
        </is>
      </c>
    </row>
    <row r="11">
      <c r="A11" s="99" t="inlineStr">
        <is>
          <t>INV00010</t>
        </is>
      </c>
      <c r="B11" s="99" t="inlineStr">
        <is>
          <t>OUT001</t>
        </is>
      </c>
      <c r="C11" s="99">
        <f>INDEX(Lookup!$B$2:$B$11,MATCH(B11,Lookup!$A$2:$A$11,0))</f>
        <v/>
      </c>
      <c r="D11" s="99" t="inlineStr">
        <is>
          <t>BP010</t>
        </is>
      </c>
      <c r="E11" s="99">
        <f>INDEX(Lookup!$E$2:$E$51,MATCH(D11,Lookup!$D$2:$D$51,0))</f>
        <v/>
      </c>
      <c r="F11" s="99">
        <f>INDEX(Lookup!$F$2:$F$51,MATCH(D11,Lookup!$D$2:$D$51,0))</f>
        <v/>
      </c>
      <c r="G11" s="100" t="n">
        <v>43</v>
      </c>
      <c r="H11" s="100" t="n">
        <v>86</v>
      </c>
      <c r="I11" s="100" t="n">
        <v>101</v>
      </c>
      <c r="J11" s="100" t="n">
        <v>2</v>
      </c>
      <c r="K11" s="100" t="n">
        <v>36</v>
      </c>
      <c r="L11" s="100" t="n">
        <v>3</v>
      </c>
      <c r="M11" s="100" t="n">
        <v>26</v>
      </c>
      <c r="N11" s="99" t="inlineStr">
        <is>
          <t>Reorder Required</t>
        </is>
      </c>
      <c r="O11" s="100">
        <f>G11+H11</f>
        <v/>
      </c>
      <c r="P11" s="100">
        <f>G11+H11-I11-J11</f>
        <v/>
      </c>
      <c r="Q11" s="100">
        <f>MAX(0,P11)</f>
        <v/>
      </c>
      <c r="R11" s="100">
        <f>MAX(0,-P11)</f>
        <v/>
      </c>
      <c r="S11" s="101">
        <f>IFERROR(J11/O11,0)</f>
        <v/>
      </c>
      <c r="T11" s="101">
        <f>IFERROR(I11/O11,0)</f>
        <v/>
      </c>
      <c r="U11" s="102">
        <f>IF(P11&lt;=K11,"Reorder Required","Stock Sufficient")</f>
        <v/>
      </c>
      <c r="V11" s="102">
        <f>IF(AND(Q11=M11,(U11="Reorder Required")=(N11="Reorder Required")),"OK","Mismatch")</f>
        <v/>
      </c>
      <c r="W11" s="99" t="inlineStr">
        <is>
          <t>Restock immediately</t>
        </is>
      </c>
    </row>
    <row r="12">
      <c r="A12" s="99" t="inlineStr">
        <is>
          <t>INV00011</t>
        </is>
      </c>
      <c r="B12" s="99" t="inlineStr">
        <is>
          <t>OUT001</t>
        </is>
      </c>
      <c r="C12" s="99">
        <f>INDEX(Lookup!$B$2:$B$11,MATCH(B12,Lookup!$A$2:$A$11,0))</f>
        <v/>
      </c>
      <c r="D12" s="99" t="inlineStr">
        <is>
          <t>BP011</t>
        </is>
      </c>
      <c r="E12" s="99">
        <f>INDEX(Lookup!$E$2:$E$51,MATCH(D12,Lookup!$D$2:$D$51,0))</f>
        <v/>
      </c>
      <c r="F12" s="99">
        <f>INDEX(Lookup!$F$2:$F$51,MATCH(D12,Lookup!$D$2:$D$51,0))</f>
        <v/>
      </c>
      <c r="G12" s="100" t="n">
        <v>127</v>
      </c>
      <c r="H12" s="100" t="n">
        <v>45</v>
      </c>
      <c r="I12" s="100" t="n">
        <v>113</v>
      </c>
      <c r="J12" s="100" t="n">
        <v>1</v>
      </c>
      <c r="K12" s="100" t="n">
        <v>29</v>
      </c>
      <c r="L12" s="100" t="n">
        <v>2</v>
      </c>
      <c r="M12" s="100" t="n">
        <v>58</v>
      </c>
      <c r="N12" s="99" t="inlineStr">
        <is>
          <t>Healthy</t>
        </is>
      </c>
      <c r="O12" s="100">
        <f>G12+H12</f>
        <v/>
      </c>
      <c r="P12" s="100">
        <f>G12+H12-I12-J12</f>
        <v/>
      </c>
      <c r="Q12" s="100">
        <f>MAX(0,P12)</f>
        <v/>
      </c>
      <c r="R12" s="100">
        <f>MAX(0,-P12)</f>
        <v/>
      </c>
      <c r="S12" s="101">
        <f>IFERROR(J12/O12,0)</f>
        <v/>
      </c>
      <c r="T12" s="101">
        <f>IFERROR(I12/O12,0)</f>
        <v/>
      </c>
      <c r="U12" s="102">
        <f>IF(P12&lt;=K12,"Reorder Required","Stock Sufficient")</f>
        <v/>
      </c>
      <c r="V12" s="102">
        <f>IF(AND(Q12=M12,(U12="Reorder Required")=(N12="Reorder Required")),"OK","Mismatch")</f>
        <v/>
      </c>
      <c r="W12" s="99" t="n"/>
    </row>
    <row r="13">
      <c r="A13" s="99" t="inlineStr">
        <is>
          <t>INV00012</t>
        </is>
      </c>
      <c r="B13" s="99" t="inlineStr">
        <is>
          <t>OUT001</t>
        </is>
      </c>
      <c r="C13" s="99">
        <f>INDEX(Lookup!$B$2:$B$11,MATCH(B13,Lookup!$A$2:$A$11,0))</f>
        <v/>
      </c>
      <c r="D13" s="99" t="inlineStr">
        <is>
          <t>BP012</t>
        </is>
      </c>
      <c r="E13" s="99">
        <f>INDEX(Lookup!$E$2:$E$51,MATCH(D13,Lookup!$D$2:$D$51,0))</f>
        <v/>
      </c>
      <c r="F13" s="99">
        <f>INDEX(Lookup!$F$2:$F$51,MATCH(D13,Lookup!$D$2:$D$51,0))</f>
        <v/>
      </c>
      <c r="G13" s="100" t="n">
        <v>95</v>
      </c>
      <c r="H13" s="100" t="n">
        <v>53</v>
      </c>
      <c r="I13" s="100" t="n">
        <v>92</v>
      </c>
      <c r="J13" s="100" t="n">
        <v>2</v>
      </c>
      <c r="K13" s="100" t="n">
        <v>21</v>
      </c>
      <c r="L13" s="100" t="n">
        <v>5</v>
      </c>
      <c r="M13" s="100" t="n">
        <v>54</v>
      </c>
      <c r="N13" s="99" t="inlineStr">
        <is>
          <t>Healthy</t>
        </is>
      </c>
      <c r="O13" s="100">
        <f>G13+H13</f>
        <v/>
      </c>
      <c r="P13" s="100">
        <f>G13+H13-I13-J13</f>
        <v/>
      </c>
      <c r="Q13" s="100">
        <f>MAX(0,P13)</f>
        <v/>
      </c>
      <c r="R13" s="100">
        <f>MAX(0,-P13)</f>
        <v/>
      </c>
      <c r="S13" s="101">
        <f>IFERROR(J13/O13,0)</f>
        <v/>
      </c>
      <c r="T13" s="101">
        <f>IFERROR(I13/O13,0)</f>
        <v/>
      </c>
      <c r="U13" s="102">
        <f>IF(P13&lt;=K13,"Reorder Required","Stock Sufficient")</f>
        <v/>
      </c>
      <c r="V13" s="102">
        <f>IF(AND(Q13=M13,(U13="Reorder Required")=(N13="Reorder Required")),"OK","Mismatch")</f>
        <v/>
      </c>
      <c r="W13" s="99" t="n"/>
    </row>
    <row r="14">
      <c r="A14" s="99" t="inlineStr">
        <is>
          <t>INV00013</t>
        </is>
      </c>
      <c r="B14" s="99" t="inlineStr">
        <is>
          <t>OUT001</t>
        </is>
      </c>
      <c r="C14" s="99">
        <f>INDEX(Lookup!$B$2:$B$11,MATCH(B14,Lookup!$A$2:$A$11,0))</f>
        <v/>
      </c>
      <c r="D14" s="99" t="inlineStr">
        <is>
          <t>BP013</t>
        </is>
      </c>
      <c r="E14" s="99">
        <f>INDEX(Lookup!$E$2:$E$51,MATCH(D14,Lookup!$D$2:$D$51,0))</f>
        <v/>
      </c>
      <c r="F14" s="99">
        <f>INDEX(Lookup!$F$2:$F$51,MATCH(D14,Lookup!$D$2:$D$51,0))</f>
        <v/>
      </c>
      <c r="G14" s="100" t="n">
        <v>45</v>
      </c>
      <c r="H14" s="100" t="n">
        <v>38</v>
      </c>
      <c r="I14" s="100" t="n">
        <v>105</v>
      </c>
      <c r="J14" s="100" t="n">
        <v>0</v>
      </c>
      <c r="K14" s="100" t="n">
        <v>29</v>
      </c>
      <c r="L14" s="100" t="n">
        <v>1</v>
      </c>
      <c r="M14" s="100" t="n">
        <v>0</v>
      </c>
      <c r="N14" s="99" t="inlineStr">
        <is>
          <t>Reorder Required</t>
        </is>
      </c>
      <c r="O14" s="100">
        <f>G14+H14</f>
        <v/>
      </c>
      <c r="P14" s="100">
        <f>G14+H14-I14-J14</f>
        <v/>
      </c>
      <c r="Q14" s="100">
        <f>MAX(0,P14)</f>
        <v/>
      </c>
      <c r="R14" s="100">
        <f>MAX(0,-P14)</f>
        <v/>
      </c>
      <c r="S14" s="101">
        <f>IFERROR(J14/O14,0)</f>
        <v/>
      </c>
      <c r="T14" s="101">
        <f>IFERROR(I14/O14,0)</f>
        <v/>
      </c>
      <c r="U14" s="102">
        <f>IF(P14&lt;=K14,"Reorder Required","Stock Sufficient")</f>
        <v/>
      </c>
      <c r="V14" s="102">
        <f>IF(AND(Q14=M14,(U14="Reorder Required")=(N14="Reorder Required")),"OK","Mismatch")</f>
        <v/>
      </c>
      <c r="W14" s="99" t="inlineStr">
        <is>
          <t>Restock immediately</t>
        </is>
      </c>
    </row>
    <row r="15">
      <c r="A15" s="99" t="inlineStr">
        <is>
          <t>INV00014</t>
        </is>
      </c>
      <c r="B15" s="99" t="inlineStr">
        <is>
          <t>OUT001</t>
        </is>
      </c>
      <c r="C15" s="99">
        <f>INDEX(Lookup!$B$2:$B$11,MATCH(B15,Lookup!$A$2:$A$11,0))</f>
        <v/>
      </c>
      <c r="D15" s="99" t="inlineStr">
        <is>
          <t>BP014</t>
        </is>
      </c>
      <c r="E15" s="99">
        <f>INDEX(Lookup!$E$2:$E$51,MATCH(D15,Lookup!$D$2:$D$51,0))</f>
        <v/>
      </c>
      <c r="F15" s="99">
        <f>INDEX(Lookup!$F$2:$F$51,MATCH(D15,Lookup!$D$2:$D$51,0))</f>
        <v/>
      </c>
      <c r="G15" s="100" t="n">
        <v>101</v>
      </c>
      <c r="H15" s="100" t="n">
        <v>75</v>
      </c>
      <c r="I15" s="100" t="n">
        <v>74</v>
      </c>
      <c r="J15" s="100" t="n">
        <v>0</v>
      </c>
      <c r="K15" s="100" t="n">
        <v>31</v>
      </c>
      <c r="L15" s="100" t="n">
        <v>3</v>
      </c>
      <c r="M15" s="100" t="n">
        <v>102</v>
      </c>
      <c r="N15" s="99" t="inlineStr">
        <is>
          <t>Healthy</t>
        </is>
      </c>
      <c r="O15" s="100">
        <f>G15+H15</f>
        <v/>
      </c>
      <c r="P15" s="100">
        <f>G15+H15-I15-J15</f>
        <v/>
      </c>
      <c r="Q15" s="100">
        <f>MAX(0,P15)</f>
        <v/>
      </c>
      <c r="R15" s="100">
        <f>MAX(0,-P15)</f>
        <v/>
      </c>
      <c r="S15" s="101">
        <f>IFERROR(J15/O15,0)</f>
        <v/>
      </c>
      <c r="T15" s="101">
        <f>IFERROR(I15/O15,0)</f>
        <v/>
      </c>
      <c r="U15" s="102">
        <f>IF(P15&lt;=K15,"Reorder Required","Stock Sufficient")</f>
        <v/>
      </c>
      <c r="V15" s="102">
        <f>IF(AND(Q15=M15,(U15="Reorder Required")=(N15="Reorder Required")),"OK","Mismatch")</f>
        <v/>
      </c>
      <c r="W15" s="99" t="n"/>
    </row>
    <row r="16">
      <c r="A16" s="99" t="inlineStr">
        <is>
          <t>INV00015</t>
        </is>
      </c>
      <c r="B16" s="99" t="inlineStr">
        <is>
          <t>OUT001</t>
        </is>
      </c>
      <c r="C16" s="99">
        <f>INDEX(Lookup!$B$2:$B$11,MATCH(B16,Lookup!$A$2:$A$11,0))</f>
        <v/>
      </c>
      <c r="D16" s="99" t="inlineStr">
        <is>
          <t>BP015</t>
        </is>
      </c>
      <c r="E16" s="99">
        <f>INDEX(Lookup!$E$2:$E$51,MATCH(D16,Lookup!$D$2:$D$51,0))</f>
        <v/>
      </c>
      <c r="F16" s="99">
        <f>INDEX(Lookup!$F$2:$F$51,MATCH(D16,Lookup!$D$2:$D$51,0))</f>
        <v/>
      </c>
      <c r="G16" s="100" t="n">
        <v>115</v>
      </c>
      <c r="H16" s="100" t="n">
        <v>25</v>
      </c>
      <c r="I16" s="100" t="n">
        <v>144</v>
      </c>
      <c r="J16" s="100" t="n">
        <v>2</v>
      </c>
      <c r="K16" s="100" t="n">
        <v>32</v>
      </c>
      <c r="L16" s="100" t="n">
        <v>3</v>
      </c>
      <c r="M16" s="100" t="n">
        <v>0</v>
      </c>
      <c r="N16" s="99" t="inlineStr">
        <is>
          <t>Reorder Required</t>
        </is>
      </c>
      <c r="O16" s="100">
        <f>G16+H16</f>
        <v/>
      </c>
      <c r="P16" s="100">
        <f>G16+H16-I16-J16</f>
        <v/>
      </c>
      <c r="Q16" s="100">
        <f>MAX(0,P16)</f>
        <v/>
      </c>
      <c r="R16" s="100">
        <f>MAX(0,-P16)</f>
        <v/>
      </c>
      <c r="S16" s="101">
        <f>IFERROR(J16/O16,0)</f>
        <v/>
      </c>
      <c r="T16" s="101">
        <f>IFERROR(I16/O16,0)</f>
        <v/>
      </c>
      <c r="U16" s="102">
        <f>IF(P16&lt;=K16,"Reorder Required","Stock Sufficient")</f>
        <v/>
      </c>
      <c r="V16" s="102">
        <f>IF(AND(Q16=M16,(U16="Reorder Required")=(N16="Reorder Required")),"OK","Mismatch")</f>
        <v/>
      </c>
      <c r="W16" s="99" t="inlineStr">
        <is>
          <t>Restock immediately</t>
        </is>
      </c>
    </row>
    <row r="17">
      <c r="A17" s="99" t="inlineStr">
        <is>
          <t>INV00016</t>
        </is>
      </c>
      <c r="B17" s="99" t="inlineStr">
        <is>
          <t>OUT001</t>
        </is>
      </c>
      <c r="C17" s="99">
        <f>INDEX(Lookup!$B$2:$B$11,MATCH(B17,Lookup!$A$2:$A$11,0))</f>
        <v/>
      </c>
      <c r="D17" s="99" t="inlineStr">
        <is>
          <t>BP016</t>
        </is>
      </c>
      <c r="E17" s="99">
        <f>INDEX(Lookup!$E$2:$E$51,MATCH(D17,Lookup!$D$2:$D$51,0))</f>
        <v/>
      </c>
      <c r="F17" s="99">
        <f>INDEX(Lookup!$F$2:$F$51,MATCH(D17,Lookup!$D$2:$D$51,0))</f>
        <v/>
      </c>
      <c r="G17" s="100" t="n">
        <v>112</v>
      </c>
      <c r="H17" s="100" t="n">
        <v>75</v>
      </c>
      <c r="I17" s="100" t="n">
        <v>96</v>
      </c>
      <c r="J17" s="100" t="n">
        <v>1</v>
      </c>
      <c r="K17" s="100" t="n">
        <v>29</v>
      </c>
      <c r="L17" s="100" t="n">
        <v>1</v>
      </c>
      <c r="M17" s="100" t="n">
        <v>90</v>
      </c>
      <c r="N17" s="99" t="inlineStr">
        <is>
          <t>Healthy</t>
        </is>
      </c>
      <c r="O17" s="100">
        <f>G17+H17</f>
        <v/>
      </c>
      <c r="P17" s="100">
        <f>G17+H17-I17-J17</f>
        <v/>
      </c>
      <c r="Q17" s="100">
        <f>MAX(0,P17)</f>
        <v/>
      </c>
      <c r="R17" s="100">
        <f>MAX(0,-P17)</f>
        <v/>
      </c>
      <c r="S17" s="101">
        <f>IFERROR(J17/O17,0)</f>
        <v/>
      </c>
      <c r="T17" s="101">
        <f>IFERROR(I17/O17,0)</f>
        <v/>
      </c>
      <c r="U17" s="102">
        <f>IF(P17&lt;=K17,"Reorder Required","Stock Sufficient")</f>
        <v/>
      </c>
      <c r="V17" s="102">
        <f>IF(AND(Q17=M17,(U17="Reorder Required")=(N17="Reorder Required")),"OK","Mismatch")</f>
        <v/>
      </c>
      <c r="W17" s="99" t="n"/>
    </row>
    <row r="18">
      <c r="A18" s="99" t="inlineStr">
        <is>
          <t>INV00017</t>
        </is>
      </c>
      <c r="B18" s="99" t="inlineStr">
        <is>
          <t>OUT001</t>
        </is>
      </c>
      <c r="C18" s="99">
        <f>INDEX(Lookup!$B$2:$B$11,MATCH(B18,Lookup!$A$2:$A$11,0))</f>
        <v/>
      </c>
      <c r="D18" s="99" t="inlineStr">
        <is>
          <t>BP017</t>
        </is>
      </c>
      <c r="E18" s="99">
        <f>INDEX(Lookup!$E$2:$E$51,MATCH(D18,Lookup!$D$2:$D$51,0))</f>
        <v/>
      </c>
      <c r="F18" s="99">
        <f>INDEX(Lookup!$F$2:$F$51,MATCH(D18,Lookup!$D$2:$D$51,0))</f>
        <v/>
      </c>
      <c r="G18" s="100" t="n">
        <v>131</v>
      </c>
      <c r="H18" s="100" t="n">
        <v>43</v>
      </c>
      <c r="I18" s="100" t="n">
        <v>133</v>
      </c>
      <c r="J18" s="100" t="n">
        <v>0</v>
      </c>
      <c r="K18" s="100" t="n">
        <v>34</v>
      </c>
      <c r="L18" s="100" t="n">
        <v>5</v>
      </c>
      <c r="M18" s="100" t="n">
        <v>41</v>
      </c>
      <c r="N18" s="99" t="inlineStr">
        <is>
          <t>Healthy</t>
        </is>
      </c>
      <c r="O18" s="100">
        <f>G18+H18</f>
        <v/>
      </c>
      <c r="P18" s="100">
        <f>G18+H18-I18-J18</f>
        <v/>
      </c>
      <c r="Q18" s="100">
        <f>MAX(0,P18)</f>
        <v/>
      </c>
      <c r="R18" s="100">
        <f>MAX(0,-P18)</f>
        <v/>
      </c>
      <c r="S18" s="101">
        <f>IFERROR(J18/O18,0)</f>
        <v/>
      </c>
      <c r="T18" s="101">
        <f>IFERROR(I18/O18,0)</f>
        <v/>
      </c>
      <c r="U18" s="102">
        <f>IF(P18&lt;=K18,"Reorder Required","Stock Sufficient")</f>
        <v/>
      </c>
      <c r="V18" s="102">
        <f>IF(AND(Q18=M18,(U18="Reorder Required")=(N18="Reorder Required")),"OK","Mismatch")</f>
        <v/>
      </c>
      <c r="W18" s="99" t="n"/>
    </row>
    <row r="19">
      <c r="A19" s="99" t="inlineStr">
        <is>
          <t>INV00018</t>
        </is>
      </c>
      <c r="B19" s="99" t="inlineStr">
        <is>
          <t>OUT001</t>
        </is>
      </c>
      <c r="C19" s="99">
        <f>INDEX(Lookup!$B$2:$B$11,MATCH(B19,Lookup!$A$2:$A$11,0))</f>
        <v/>
      </c>
      <c r="D19" s="99" t="inlineStr">
        <is>
          <t>BP018</t>
        </is>
      </c>
      <c r="E19" s="99">
        <f>INDEX(Lookup!$E$2:$E$51,MATCH(D19,Lookup!$D$2:$D$51,0))</f>
        <v/>
      </c>
      <c r="F19" s="99">
        <f>INDEX(Lookup!$F$2:$F$51,MATCH(D19,Lookup!$D$2:$D$51,0))</f>
        <v/>
      </c>
      <c r="G19" s="100" t="n">
        <v>51</v>
      </c>
      <c r="H19" s="100" t="n">
        <v>53</v>
      </c>
      <c r="I19" s="100" t="n">
        <v>114</v>
      </c>
      <c r="J19" s="100" t="n">
        <v>0</v>
      </c>
      <c r="K19" s="100" t="n">
        <v>23</v>
      </c>
      <c r="L19" s="100" t="n">
        <v>1</v>
      </c>
      <c r="M19" s="100" t="n">
        <v>0</v>
      </c>
      <c r="N19" s="99" t="inlineStr">
        <is>
          <t>Reorder Required</t>
        </is>
      </c>
      <c r="O19" s="100">
        <f>G19+H19</f>
        <v/>
      </c>
      <c r="P19" s="100">
        <f>G19+H19-I19-J19</f>
        <v/>
      </c>
      <c r="Q19" s="100">
        <f>MAX(0,P19)</f>
        <v/>
      </c>
      <c r="R19" s="100">
        <f>MAX(0,-P19)</f>
        <v/>
      </c>
      <c r="S19" s="101">
        <f>IFERROR(J19/O19,0)</f>
        <v/>
      </c>
      <c r="T19" s="101">
        <f>IFERROR(I19/O19,0)</f>
        <v/>
      </c>
      <c r="U19" s="102">
        <f>IF(P19&lt;=K19,"Reorder Required","Stock Sufficient")</f>
        <v/>
      </c>
      <c r="V19" s="102">
        <f>IF(AND(Q19=M19,(U19="Reorder Required")=(N19="Reorder Required")),"OK","Mismatch")</f>
        <v/>
      </c>
      <c r="W19" s="99" t="inlineStr">
        <is>
          <t>Restock immediately</t>
        </is>
      </c>
    </row>
    <row r="20">
      <c r="A20" s="99" t="inlineStr">
        <is>
          <t>INV00019</t>
        </is>
      </c>
      <c r="B20" s="99" t="inlineStr">
        <is>
          <t>OUT001</t>
        </is>
      </c>
      <c r="C20" s="99">
        <f>INDEX(Lookup!$B$2:$B$11,MATCH(B20,Lookup!$A$2:$A$11,0))</f>
        <v/>
      </c>
      <c r="D20" s="99" t="inlineStr">
        <is>
          <t>BP019</t>
        </is>
      </c>
      <c r="E20" s="99">
        <f>INDEX(Lookup!$E$2:$E$51,MATCH(D20,Lookup!$D$2:$D$51,0))</f>
        <v/>
      </c>
      <c r="F20" s="99">
        <f>INDEX(Lookup!$F$2:$F$51,MATCH(D20,Lookup!$D$2:$D$51,0))</f>
        <v/>
      </c>
      <c r="G20" s="100" t="n">
        <v>92</v>
      </c>
      <c r="H20" s="100" t="n">
        <v>36</v>
      </c>
      <c r="I20" s="100" t="n">
        <v>89</v>
      </c>
      <c r="J20" s="100" t="n">
        <v>1</v>
      </c>
      <c r="K20" s="100" t="n">
        <v>28</v>
      </c>
      <c r="L20" s="100" t="n">
        <v>2</v>
      </c>
      <c r="M20" s="100" t="n">
        <v>38</v>
      </c>
      <c r="N20" s="99" t="inlineStr">
        <is>
          <t>Healthy</t>
        </is>
      </c>
      <c r="O20" s="100">
        <f>G20+H20</f>
        <v/>
      </c>
      <c r="P20" s="100">
        <f>G20+H20-I20-J20</f>
        <v/>
      </c>
      <c r="Q20" s="100">
        <f>MAX(0,P20)</f>
        <v/>
      </c>
      <c r="R20" s="100">
        <f>MAX(0,-P20)</f>
        <v/>
      </c>
      <c r="S20" s="101">
        <f>IFERROR(J20/O20,0)</f>
        <v/>
      </c>
      <c r="T20" s="101">
        <f>IFERROR(I20/O20,0)</f>
        <v/>
      </c>
      <c r="U20" s="102">
        <f>IF(P20&lt;=K20,"Reorder Required","Stock Sufficient")</f>
        <v/>
      </c>
      <c r="V20" s="102">
        <f>IF(AND(Q20=M20,(U20="Reorder Required")=(N20="Reorder Required")),"OK","Mismatch")</f>
        <v/>
      </c>
      <c r="W20" s="99" t="n"/>
    </row>
    <row r="21">
      <c r="A21" s="99" t="inlineStr">
        <is>
          <t>INV00020</t>
        </is>
      </c>
      <c r="B21" s="99" t="inlineStr">
        <is>
          <t>OUT001</t>
        </is>
      </c>
      <c r="C21" s="99">
        <f>INDEX(Lookup!$B$2:$B$11,MATCH(B21,Lookup!$A$2:$A$11,0))</f>
        <v/>
      </c>
      <c r="D21" s="99" t="inlineStr">
        <is>
          <t>BP020</t>
        </is>
      </c>
      <c r="E21" s="99">
        <f>INDEX(Lookup!$E$2:$E$51,MATCH(D21,Lookup!$D$2:$D$51,0))</f>
        <v/>
      </c>
      <c r="F21" s="99">
        <f>INDEX(Lookup!$F$2:$F$51,MATCH(D21,Lookup!$D$2:$D$51,0))</f>
        <v/>
      </c>
      <c r="G21" s="100" t="n">
        <v>72</v>
      </c>
      <c r="H21" s="100" t="n">
        <v>80</v>
      </c>
      <c r="I21" s="100" t="n">
        <v>146</v>
      </c>
      <c r="J21" s="100" t="n">
        <v>1</v>
      </c>
      <c r="K21" s="100" t="n">
        <v>28</v>
      </c>
      <c r="L21" s="100" t="n">
        <v>1</v>
      </c>
      <c r="M21" s="100" t="n">
        <v>5</v>
      </c>
      <c r="N21" s="99" t="inlineStr">
        <is>
          <t>Reorder Required</t>
        </is>
      </c>
      <c r="O21" s="100">
        <f>G21+H21</f>
        <v/>
      </c>
      <c r="P21" s="100">
        <f>G21+H21-I21-J21</f>
        <v/>
      </c>
      <c r="Q21" s="100">
        <f>MAX(0,P21)</f>
        <v/>
      </c>
      <c r="R21" s="100">
        <f>MAX(0,-P21)</f>
        <v/>
      </c>
      <c r="S21" s="101">
        <f>IFERROR(J21/O21,0)</f>
        <v/>
      </c>
      <c r="T21" s="101">
        <f>IFERROR(I21/O21,0)</f>
        <v/>
      </c>
      <c r="U21" s="102">
        <f>IF(P21&lt;=K21,"Reorder Required","Stock Sufficient")</f>
        <v/>
      </c>
      <c r="V21" s="102">
        <f>IF(AND(Q21=M21,(U21="Reorder Required")=(N21="Reorder Required")),"OK","Mismatch")</f>
        <v/>
      </c>
      <c r="W21" s="99" t="inlineStr">
        <is>
          <t>Restock immediately</t>
        </is>
      </c>
    </row>
    <row r="22">
      <c r="A22" s="99" t="inlineStr">
        <is>
          <t>INV00021</t>
        </is>
      </c>
      <c r="B22" s="99" t="inlineStr">
        <is>
          <t>OUT001</t>
        </is>
      </c>
      <c r="C22" s="99">
        <f>INDEX(Lookup!$B$2:$B$11,MATCH(B22,Lookup!$A$2:$A$11,0))</f>
        <v/>
      </c>
      <c r="D22" s="99" t="inlineStr">
        <is>
          <t>BP021</t>
        </is>
      </c>
      <c r="E22" s="99">
        <f>INDEX(Lookup!$E$2:$E$51,MATCH(D22,Lookup!$D$2:$D$51,0))</f>
        <v/>
      </c>
      <c r="F22" s="99">
        <f>INDEX(Lookup!$F$2:$F$51,MATCH(D22,Lookup!$D$2:$D$51,0))</f>
        <v/>
      </c>
      <c r="G22" s="100" t="n">
        <v>52</v>
      </c>
      <c r="H22" s="100" t="n">
        <v>31</v>
      </c>
      <c r="I22" s="100" t="n">
        <v>77</v>
      </c>
      <c r="J22" s="100" t="n">
        <v>3</v>
      </c>
      <c r="K22" s="100" t="n">
        <v>19</v>
      </c>
      <c r="L22" s="100" t="n">
        <v>5</v>
      </c>
      <c r="M22" s="100" t="n">
        <v>3</v>
      </c>
      <c r="N22" s="99" t="inlineStr">
        <is>
          <t>Reorder Required</t>
        </is>
      </c>
      <c r="O22" s="100">
        <f>G22+H22</f>
        <v/>
      </c>
      <c r="P22" s="100">
        <f>G22+H22-I22-J22</f>
        <v/>
      </c>
      <c r="Q22" s="100">
        <f>MAX(0,P22)</f>
        <v/>
      </c>
      <c r="R22" s="100">
        <f>MAX(0,-P22)</f>
        <v/>
      </c>
      <c r="S22" s="101">
        <f>IFERROR(J22/O22,0)</f>
        <v/>
      </c>
      <c r="T22" s="101">
        <f>IFERROR(I22/O22,0)</f>
        <v/>
      </c>
      <c r="U22" s="102">
        <f>IF(P22&lt;=K22,"Reorder Required","Stock Sufficient")</f>
        <v/>
      </c>
      <c r="V22" s="102">
        <f>IF(AND(Q22=M22,(U22="Reorder Required")=(N22="Reorder Required")),"OK","Mismatch")</f>
        <v/>
      </c>
      <c r="W22" s="99" t="inlineStr">
        <is>
          <t>Restock immediately</t>
        </is>
      </c>
    </row>
    <row r="23">
      <c r="A23" s="99" t="inlineStr">
        <is>
          <t>INV00022</t>
        </is>
      </c>
      <c r="B23" s="99" t="inlineStr">
        <is>
          <t>OUT001</t>
        </is>
      </c>
      <c r="C23" s="99">
        <f>INDEX(Lookup!$B$2:$B$11,MATCH(B23,Lookup!$A$2:$A$11,0))</f>
        <v/>
      </c>
      <c r="D23" s="99" t="inlineStr">
        <is>
          <t>BP022</t>
        </is>
      </c>
      <c r="E23" s="99">
        <f>INDEX(Lookup!$E$2:$E$51,MATCH(D23,Lookup!$D$2:$D$51,0))</f>
        <v/>
      </c>
      <c r="F23" s="99">
        <f>INDEX(Lookup!$F$2:$F$51,MATCH(D23,Lookup!$D$2:$D$51,0))</f>
        <v/>
      </c>
      <c r="G23" s="100" t="n">
        <v>141</v>
      </c>
      <c r="H23" s="100" t="n">
        <v>94</v>
      </c>
      <c r="I23" s="100" t="n">
        <v>115</v>
      </c>
      <c r="J23" s="100" t="n">
        <v>0</v>
      </c>
      <c r="K23" s="100" t="n">
        <v>29</v>
      </c>
      <c r="L23" s="100" t="n">
        <v>5</v>
      </c>
      <c r="M23" s="100" t="n">
        <v>120</v>
      </c>
      <c r="N23" s="99" t="inlineStr">
        <is>
          <t>Healthy</t>
        </is>
      </c>
      <c r="O23" s="100">
        <f>G23+H23</f>
        <v/>
      </c>
      <c r="P23" s="100">
        <f>G23+H23-I23-J23</f>
        <v/>
      </c>
      <c r="Q23" s="100">
        <f>MAX(0,P23)</f>
        <v/>
      </c>
      <c r="R23" s="100">
        <f>MAX(0,-P23)</f>
        <v/>
      </c>
      <c r="S23" s="101">
        <f>IFERROR(J23/O23,0)</f>
        <v/>
      </c>
      <c r="T23" s="101">
        <f>IFERROR(I23/O23,0)</f>
        <v/>
      </c>
      <c r="U23" s="102">
        <f>IF(P23&lt;=K23,"Reorder Required","Stock Sufficient")</f>
        <v/>
      </c>
      <c r="V23" s="102">
        <f>IF(AND(Q23=M23,(U23="Reorder Required")=(N23="Reorder Required")),"OK","Mismatch")</f>
        <v/>
      </c>
      <c r="W23" s="99" t="n"/>
    </row>
    <row r="24">
      <c r="A24" s="99" t="inlineStr">
        <is>
          <t>INV00023</t>
        </is>
      </c>
      <c r="B24" s="99" t="inlineStr">
        <is>
          <t>OUT001</t>
        </is>
      </c>
      <c r="C24" s="99">
        <f>INDEX(Lookup!$B$2:$B$11,MATCH(B24,Lookup!$A$2:$A$11,0))</f>
        <v/>
      </c>
      <c r="D24" s="99" t="inlineStr">
        <is>
          <t>BP023</t>
        </is>
      </c>
      <c r="E24" s="99">
        <f>INDEX(Lookup!$E$2:$E$51,MATCH(D24,Lookup!$D$2:$D$51,0))</f>
        <v/>
      </c>
      <c r="F24" s="99">
        <f>INDEX(Lookup!$F$2:$F$51,MATCH(D24,Lookup!$D$2:$D$51,0))</f>
        <v/>
      </c>
      <c r="G24" s="100" t="n">
        <v>55</v>
      </c>
      <c r="H24" s="100" t="n">
        <v>92</v>
      </c>
      <c r="I24" s="100" t="n">
        <v>119</v>
      </c>
      <c r="J24" s="100" t="n">
        <v>3</v>
      </c>
      <c r="K24" s="100" t="n">
        <v>30</v>
      </c>
      <c r="L24" s="100" t="n">
        <v>5</v>
      </c>
      <c r="M24" s="100" t="n">
        <v>25</v>
      </c>
      <c r="N24" s="99" t="inlineStr">
        <is>
          <t>Reorder Required</t>
        </is>
      </c>
      <c r="O24" s="100">
        <f>G24+H24</f>
        <v/>
      </c>
      <c r="P24" s="100">
        <f>G24+H24-I24-J24</f>
        <v/>
      </c>
      <c r="Q24" s="100">
        <f>MAX(0,P24)</f>
        <v/>
      </c>
      <c r="R24" s="100">
        <f>MAX(0,-P24)</f>
        <v/>
      </c>
      <c r="S24" s="101">
        <f>IFERROR(J24/O24,0)</f>
        <v/>
      </c>
      <c r="T24" s="101">
        <f>IFERROR(I24/O24,0)</f>
        <v/>
      </c>
      <c r="U24" s="102">
        <f>IF(P24&lt;=K24,"Reorder Required","Stock Sufficient")</f>
        <v/>
      </c>
      <c r="V24" s="102">
        <f>IF(AND(Q24=M24,(U24="Reorder Required")=(N24="Reorder Required")),"OK","Mismatch")</f>
        <v/>
      </c>
      <c r="W24" s="99" t="inlineStr">
        <is>
          <t>Restock immediately</t>
        </is>
      </c>
    </row>
    <row r="25">
      <c r="A25" s="99" t="inlineStr">
        <is>
          <t>INV00024</t>
        </is>
      </c>
      <c r="B25" s="99" t="inlineStr">
        <is>
          <t>OUT001</t>
        </is>
      </c>
      <c r="C25" s="99">
        <f>INDEX(Lookup!$B$2:$B$11,MATCH(B25,Lookup!$A$2:$A$11,0))</f>
        <v/>
      </c>
      <c r="D25" s="99" t="inlineStr">
        <is>
          <t>BP024</t>
        </is>
      </c>
      <c r="E25" s="99">
        <f>INDEX(Lookup!$E$2:$E$51,MATCH(D25,Lookup!$D$2:$D$51,0))</f>
        <v/>
      </c>
      <c r="F25" s="99">
        <f>INDEX(Lookup!$F$2:$F$51,MATCH(D25,Lookup!$D$2:$D$51,0))</f>
        <v/>
      </c>
      <c r="G25" s="100" t="n">
        <v>150</v>
      </c>
      <c r="H25" s="100" t="n">
        <v>69</v>
      </c>
      <c r="I25" s="100" t="n">
        <v>86</v>
      </c>
      <c r="J25" s="100" t="n">
        <v>3</v>
      </c>
      <c r="K25" s="100" t="n">
        <v>28</v>
      </c>
      <c r="L25" s="100" t="n">
        <v>3</v>
      </c>
      <c r="M25" s="100" t="n">
        <v>130</v>
      </c>
      <c r="N25" s="99" t="inlineStr">
        <is>
          <t>Healthy</t>
        </is>
      </c>
      <c r="O25" s="100">
        <f>G25+H25</f>
        <v/>
      </c>
      <c r="P25" s="100">
        <f>G25+H25-I25-J25</f>
        <v/>
      </c>
      <c r="Q25" s="100">
        <f>MAX(0,P25)</f>
        <v/>
      </c>
      <c r="R25" s="100">
        <f>MAX(0,-P25)</f>
        <v/>
      </c>
      <c r="S25" s="101">
        <f>IFERROR(J25/O25,0)</f>
        <v/>
      </c>
      <c r="T25" s="101">
        <f>IFERROR(I25/O25,0)</f>
        <v/>
      </c>
      <c r="U25" s="102">
        <f>IF(P25&lt;=K25,"Reorder Required","Stock Sufficient")</f>
        <v/>
      </c>
      <c r="V25" s="102">
        <f>IF(AND(Q25=M25,(U25="Reorder Required")=(N25="Reorder Required")),"OK","Mismatch")</f>
        <v/>
      </c>
      <c r="W25" s="99" t="n"/>
    </row>
    <row r="26">
      <c r="A26" s="99" t="inlineStr">
        <is>
          <t>INV00025</t>
        </is>
      </c>
      <c r="B26" s="99" t="inlineStr">
        <is>
          <t>OUT001</t>
        </is>
      </c>
      <c r="C26" s="99">
        <f>INDEX(Lookup!$B$2:$B$11,MATCH(B26,Lookup!$A$2:$A$11,0))</f>
        <v/>
      </c>
      <c r="D26" s="99" t="inlineStr">
        <is>
          <t>BP025</t>
        </is>
      </c>
      <c r="E26" s="99">
        <f>INDEX(Lookup!$E$2:$E$51,MATCH(D26,Lookup!$D$2:$D$51,0))</f>
        <v/>
      </c>
      <c r="F26" s="99">
        <f>INDEX(Lookup!$F$2:$F$51,MATCH(D26,Lookup!$D$2:$D$51,0))</f>
        <v/>
      </c>
      <c r="G26" s="100" t="n">
        <v>86</v>
      </c>
      <c r="H26" s="100" t="n">
        <v>30</v>
      </c>
      <c r="I26" s="100" t="n">
        <v>117</v>
      </c>
      <c r="J26" s="100" t="n">
        <v>2</v>
      </c>
      <c r="K26" s="100" t="n">
        <v>26</v>
      </c>
      <c r="L26" s="100" t="n">
        <v>5</v>
      </c>
      <c r="M26" s="100" t="n">
        <v>0</v>
      </c>
      <c r="N26" s="99" t="inlineStr">
        <is>
          <t>Reorder Required</t>
        </is>
      </c>
      <c r="O26" s="100">
        <f>G26+H26</f>
        <v/>
      </c>
      <c r="P26" s="100">
        <f>G26+H26-I26-J26</f>
        <v/>
      </c>
      <c r="Q26" s="100">
        <f>MAX(0,P26)</f>
        <v/>
      </c>
      <c r="R26" s="100">
        <f>MAX(0,-P26)</f>
        <v/>
      </c>
      <c r="S26" s="101">
        <f>IFERROR(J26/O26,0)</f>
        <v/>
      </c>
      <c r="T26" s="101">
        <f>IFERROR(I26/O26,0)</f>
        <v/>
      </c>
      <c r="U26" s="102">
        <f>IF(P26&lt;=K26,"Reorder Required","Stock Sufficient")</f>
        <v/>
      </c>
      <c r="V26" s="102">
        <f>IF(AND(Q26=M26,(U26="Reorder Required")=(N26="Reorder Required")),"OK","Mismatch")</f>
        <v/>
      </c>
      <c r="W26" s="99" t="inlineStr">
        <is>
          <t>Restock immediately</t>
        </is>
      </c>
    </row>
    <row r="27">
      <c r="A27" s="99" t="inlineStr">
        <is>
          <t>INV00026</t>
        </is>
      </c>
      <c r="B27" s="99" t="inlineStr">
        <is>
          <t>OUT001</t>
        </is>
      </c>
      <c r="C27" s="99">
        <f>INDEX(Lookup!$B$2:$B$11,MATCH(B27,Lookup!$A$2:$A$11,0))</f>
        <v/>
      </c>
      <c r="D27" s="99" t="inlineStr">
        <is>
          <t>BP026</t>
        </is>
      </c>
      <c r="E27" s="99">
        <f>INDEX(Lookup!$E$2:$E$51,MATCH(D27,Lookup!$D$2:$D$51,0))</f>
        <v/>
      </c>
      <c r="F27" s="99">
        <f>INDEX(Lookup!$F$2:$F$51,MATCH(D27,Lookup!$D$2:$D$51,0))</f>
        <v/>
      </c>
      <c r="G27" s="100" t="n">
        <v>53</v>
      </c>
      <c r="H27" s="100" t="n">
        <v>25</v>
      </c>
      <c r="I27" s="100" t="n">
        <v>114</v>
      </c>
      <c r="J27" s="100" t="n">
        <v>2</v>
      </c>
      <c r="K27" s="100" t="n">
        <v>40</v>
      </c>
      <c r="L27" s="100" t="n">
        <v>5</v>
      </c>
      <c r="M27" s="100" t="n">
        <v>0</v>
      </c>
      <c r="N27" s="99" t="inlineStr">
        <is>
          <t>Reorder Required</t>
        </is>
      </c>
      <c r="O27" s="100">
        <f>G27+H27</f>
        <v/>
      </c>
      <c r="P27" s="100">
        <f>G27+H27-I27-J27</f>
        <v/>
      </c>
      <c r="Q27" s="100">
        <f>MAX(0,P27)</f>
        <v/>
      </c>
      <c r="R27" s="100">
        <f>MAX(0,-P27)</f>
        <v/>
      </c>
      <c r="S27" s="101">
        <f>IFERROR(J27/O27,0)</f>
        <v/>
      </c>
      <c r="T27" s="101">
        <f>IFERROR(I27/O27,0)</f>
        <v/>
      </c>
      <c r="U27" s="102">
        <f>IF(P27&lt;=K27,"Reorder Required","Stock Sufficient")</f>
        <v/>
      </c>
      <c r="V27" s="102">
        <f>IF(AND(Q27=M27,(U27="Reorder Required")=(N27="Reorder Required")),"OK","Mismatch")</f>
        <v/>
      </c>
      <c r="W27" s="99" t="inlineStr">
        <is>
          <t>Restock immediately</t>
        </is>
      </c>
    </row>
    <row r="28">
      <c r="A28" s="99" t="inlineStr">
        <is>
          <t>INV00027</t>
        </is>
      </c>
      <c r="B28" s="99" t="inlineStr">
        <is>
          <t>OUT001</t>
        </is>
      </c>
      <c r="C28" s="99">
        <f>INDEX(Lookup!$B$2:$B$11,MATCH(B28,Lookup!$A$2:$A$11,0))</f>
        <v/>
      </c>
      <c r="D28" s="99" t="inlineStr">
        <is>
          <t>BP027</t>
        </is>
      </c>
      <c r="E28" s="99">
        <f>INDEX(Lookup!$E$2:$E$51,MATCH(D28,Lookup!$D$2:$D$51,0))</f>
        <v/>
      </c>
      <c r="F28" s="99">
        <f>INDEX(Lookup!$F$2:$F$51,MATCH(D28,Lookup!$D$2:$D$51,0))</f>
        <v/>
      </c>
      <c r="G28" s="100" t="n">
        <v>44</v>
      </c>
      <c r="H28" s="100" t="n">
        <v>39</v>
      </c>
      <c r="I28" s="100" t="n">
        <v>134</v>
      </c>
      <c r="J28" s="100" t="n">
        <v>0</v>
      </c>
      <c r="K28" s="100" t="n">
        <v>37</v>
      </c>
      <c r="L28" s="100" t="n">
        <v>4</v>
      </c>
      <c r="M28" s="100" t="n">
        <v>0</v>
      </c>
      <c r="N28" s="99" t="inlineStr">
        <is>
          <t>Reorder Required</t>
        </is>
      </c>
      <c r="O28" s="100">
        <f>G28+H28</f>
        <v/>
      </c>
      <c r="P28" s="100">
        <f>G28+H28-I28-J28</f>
        <v/>
      </c>
      <c r="Q28" s="100">
        <f>MAX(0,P28)</f>
        <v/>
      </c>
      <c r="R28" s="100">
        <f>MAX(0,-P28)</f>
        <v/>
      </c>
      <c r="S28" s="101">
        <f>IFERROR(J28/O28,0)</f>
        <v/>
      </c>
      <c r="T28" s="101">
        <f>IFERROR(I28/O28,0)</f>
        <v/>
      </c>
      <c r="U28" s="102">
        <f>IF(P28&lt;=K28,"Reorder Required","Stock Sufficient")</f>
        <v/>
      </c>
      <c r="V28" s="102">
        <f>IF(AND(Q28=M28,(U28="Reorder Required")=(N28="Reorder Required")),"OK","Mismatch")</f>
        <v/>
      </c>
      <c r="W28" s="99" t="inlineStr">
        <is>
          <t>Restock immediately</t>
        </is>
      </c>
    </row>
    <row r="29">
      <c r="A29" s="99" t="inlineStr">
        <is>
          <t>INV00028</t>
        </is>
      </c>
      <c r="B29" s="99" t="inlineStr">
        <is>
          <t>OUT001</t>
        </is>
      </c>
      <c r="C29" s="99">
        <f>INDEX(Lookup!$B$2:$B$11,MATCH(B29,Lookup!$A$2:$A$11,0))</f>
        <v/>
      </c>
      <c r="D29" s="99" t="inlineStr">
        <is>
          <t>BP028</t>
        </is>
      </c>
      <c r="E29" s="99">
        <f>INDEX(Lookup!$E$2:$E$51,MATCH(D29,Lookup!$D$2:$D$51,0))</f>
        <v/>
      </c>
      <c r="F29" s="99">
        <f>INDEX(Lookup!$F$2:$F$51,MATCH(D29,Lookup!$D$2:$D$51,0))</f>
        <v/>
      </c>
      <c r="G29" s="100" t="n">
        <v>41</v>
      </c>
      <c r="H29" s="100" t="n">
        <v>44</v>
      </c>
      <c r="I29" s="100" t="n">
        <v>99</v>
      </c>
      <c r="J29" s="100" t="n">
        <v>0</v>
      </c>
      <c r="K29" s="100" t="n">
        <v>17</v>
      </c>
      <c r="L29" s="100" t="n">
        <v>5</v>
      </c>
      <c r="M29" s="100" t="n">
        <v>0</v>
      </c>
      <c r="N29" s="99" t="inlineStr">
        <is>
          <t>Reorder Required</t>
        </is>
      </c>
      <c r="O29" s="100">
        <f>G29+H29</f>
        <v/>
      </c>
      <c r="P29" s="100">
        <f>G29+H29-I29-J29</f>
        <v/>
      </c>
      <c r="Q29" s="100">
        <f>MAX(0,P29)</f>
        <v/>
      </c>
      <c r="R29" s="100">
        <f>MAX(0,-P29)</f>
        <v/>
      </c>
      <c r="S29" s="101">
        <f>IFERROR(J29/O29,0)</f>
        <v/>
      </c>
      <c r="T29" s="101">
        <f>IFERROR(I29/O29,0)</f>
        <v/>
      </c>
      <c r="U29" s="102">
        <f>IF(P29&lt;=K29,"Reorder Required","Stock Sufficient")</f>
        <v/>
      </c>
      <c r="V29" s="102">
        <f>IF(AND(Q29=M29,(U29="Reorder Required")=(N29="Reorder Required")),"OK","Mismatch")</f>
        <v/>
      </c>
      <c r="W29" s="99" t="inlineStr">
        <is>
          <t>Restock immediately</t>
        </is>
      </c>
    </row>
    <row r="30">
      <c r="A30" s="99" t="inlineStr">
        <is>
          <t>INV00029</t>
        </is>
      </c>
      <c r="B30" s="99" t="inlineStr">
        <is>
          <t>OUT001</t>
        </is>
      </c>
      <c r="C30" s="99">
        <f>INDEX(Lookup!$B$2:$B$11,MATCH(B30,Lookup!$A$2:$A$11,0))</f>
        <v/>
      </c>
      <c r="D30" s="99" t="inlineStr">
        <is>
          <t>BP029</t>
        </is>
      </c>
      <c r="E30" s="99">
        <f>INDEX(Lookup!$E$2:$E$51,MATCH(D30,Lookup!$D$2:$D$51,0))</f>
        <v/>
      </c>
      <c r="F30" s="99">
        <f>INDEX(Lookup!$F$2:$F$51,MATCH(D30,Lookup!$D$2:$D$51,0))</f>
        <v/>
      </c>
      <c r="G30" s="100" t="n">
        <v>114</v>
      </c>
      <c r="H30" s="100" t="n">
        <v>24</v>
      </c>
      <c r="I30" s="100" t="n">
        <v>173</v>
      </c>
      <c r="J30" s="100" t="n">
        <v>1</v>
      </c>
      <c r="K30" s="100" t="n">
        <v>15</v>
      </c>
      <c r="L30" s="100" t="n">
        <v>2</v>
      </c>
      <c r="M30" s="100" t="n">
        <v>0</v>
      </c>
      <c r="N30" s="99" t="inlineStr">
        <is>
          <t>Reorder Required</t>
        </is>
      </c>
      <c r="O30" s="100">
        <f>G30+H30</f>
        <v/>
      </c>
      <c r="P30" s="100">
        <f>G30+H30-I30-J30</f>
        <v/>
      </c>
      <c r="Q30" s="100">
        <f>MAX(0,P30)</f>
        <v/>
      </c>
      <c r="R30" s="100">
        <f>MAX(0,-P30)</f>
        <v/>
      </c>
      <c r="S30" s="101">
        <f>IFERROR(J30/O30,0)</f>
        <v/>
      </c>
      <c r="T30" s="101">
        <f>IFERROR(I30/O30,0)</f>
        <v/>
      </c>
      <c r="U30" s="102">
        <f>IF(P30&lt;=K30,"Reorder Required","Stock Sufficient")</f>
        <v/>
      </c>
      <c r="V30" s="102">
        <f>IF(AND(Q30=M30,(U30="Reorder Required")=(N30="Reorder Required")),"OK","Mismatch")</f>
        <v/>
      </c>
      <c r="W30" s="99" t="inlineStr">
        <is>
          <t>Restock immediately</t>
        </is>
      </c>
    </row>
    <row r="31">
      <c r="A31" s="99" t="inlineStr">
        <is>
          <t>INV00030</t>
        </is>
      </c>
      <c r="B31" s="99" t="inlineStr">
        <is>
          <t>OUT001</t>
        </is>
      </c>
      <c r="C31" s="99">
        <f>INDEX(Lookup!$B$2:$B$11,MATCH(B31,Lookup!$A$2:$A$11,0))</f>
        <v/>
      </c>
      <c r="D31" s="99" t="inlineStr">
        <is>
          <t>BP030</t>
        </is>
      </c>
      <c r="E31" s="99">
        <f>INDEX(Lookup!$E$2:$E$51,MATCH(D31,Lookup!$D$2:$D$51,0))</f>
        <v/>
      </c>
      <c r="F31" s="99">
        <f>INDEX(Lookup!$F$2:$F$51,MATCH(D31,Lookup!$D$2:$D$51,0))</f>
        <v/>
      </c>
      <c r="G31" s="100" t="n">
        <v>53</v>
      </c>
      <c r="H31" s="100" t="n">
        <v>100</v>
      </c>
      <c r="I31" s="100" t="n">
        <v>90</v>
      </c>
      <c r="J31" s="100" t="n">
        <v>4</v>
      </c>
      <c r="K31" s="100" t="n">
        <v>16</v>
      </c>
      <c r="L31" s="100" t="n">
        <v>1</v>
      </c>
      <c r="M31" s="100" t="n">
        <v>59</v>
      </c>
      <c r="N31" s="99" t="inlineStr">
        <is>
          <t>Healthy</t>
        </is>
      </c>
      <c r="O31" s="100">
        <f>G31+H31</f>
        <v/>
      </c>
      <c r="P31" s="100">
        <f>G31+H31-I31-J31</f>
        <v/>
      </c>
      <c r="Q31" s="100">
        <f>MAX(0,P31)</f>
        <v/>
      </c>
      <c r="R31" s="100">
        <f>MAX(0,-P31)</f>
        <v/>
      </c>
      <c r="S31" s="101">
        <f>IFERROR(J31/O31,0)</f>
        <v/>
      </c>
      <c r="T31" s="101">
        <f>IFERROR(I31/O31,0)</f>
        <v/>
      </c>
      <c r="U31" s="102">
        <f>IF(P31&lt;=K31,"Reorder Required","Stock Sufficient")</f>
        <v/>
      </c>
      <c r="V31" s="102">
        <f>IF(AND(Q31=M31,(U31="Reorder Required")=(N31="Reorder Required")),"OK","Mismatch")</f>
        <v/>
      </c>
      <c r="W31" s="99" t="n"/>
    </row>
    <row r="32">
      <c r="A32" s="99" t="inlineStr">
        <is>
          <t>INV00031</t>
        </is>
      </c>
      <c r="B32" s="99" t="inlineStr">
        <is>
          <t>OUT001</t>
        </is>
      </c>
      <c r="C32" s="99">
        <f>INDEX(Lookup!$B$2:$B$11,MATCH(B32,Lookup!$A$2:$A$11,0))</f>
        <v/>
      </c>
      <c r="D32" s="99" t="inlineStr">
        <is>
          <t>BP031</t>
        </is>
      </c>
      <c r="E32" s="99">
        <f>INDEX(Lookup!$E$2:$E$51,MATCH(D32,Lookup!$D$2:$D$51,0))</f>
        <v/>
      </c>
      <c r="F32" s="99">
        <f>INDEX(Lookup!$F$2:$F$51,MATCH(D32,Lookup!$D$2:$D$51,0))</f>
        <v/>
      </c>
      <c r="G32" s="100" t="n">
        <v>120</v>
      </c>
      <c r="H32" s="100" t="n">
        <v>82</v>
      </c>
      <c r="I32" s="100" t="n">
        <v>114</v>
      </c>
      <c r="J32" s="100" t="n">
        <v>7</v>
      </c>
      <c r="K32" s="100" t="n">
        <v>30</v>
      </c>
      <c r="L32" s="100" t="n">
        <v>2</v>
      </c>
      <c r="M32" s="100" t="n">
        <v>81</v>
      </c>
      <c r="N32" s="99" t="inlineStr">
        <is>
          <t>Healthy</t>
        </is>
      </c>
      <c r="O32" s="100">
        <f>G32+H32</f>
        <v/>
      </c>
      <c r="P32" s="100">
        <f>G32+H32-I32-J32</f>
        <v/>
      </c>
      <c r="Q32" s="100">
        <f>MAX(0,P32)</f>
        <v/>
      </c>
      <c r="R32" s="100">
        <f>MAX(0,-P32)</f>
        <v/>
      </c>
      <c r="S32" s="101">
        <f>IFERROR(J32/O32,0)</f>
        <v/>
      </c>
      <c r="T32" s="101">
        <f>IFERROR(I32/O32,0)</f>
        <v/>
      </c>
      <c r="U32" s="102">
        <f>IF(P32&lt;=K32,"Reorder Required","Stock Sufficient")</f>
        <v/>
      </c>
      <c r="V32" s="102">
        <f>IF(AND(Q32=M32,(U32="Reorder Required")=(N32="Reorder Required")),"OK","Mismatch")</f>
        <v/>
      </c>
      <c r="W32" s="99" t="n"/>
    </row>
    <row r="33">
      <c r="A33" s="99" t="inlineStr">
        <is>
          <t>INV00032</t>
        </is>
      </c>
      <c r="B33" s="99" t="inlineStr">
        <is>
          <t>OUT001</t>
        </is>
      </c>
      <c r="C33" s="99">
        <f>INDEX(Lookup!$B$2:$B$11,MATCH(B33,Lookup!$A$2:$A$11,0))</f>
        <v/>
      </c>
      <c r="D33" s="99" t="inlineStr">
        <is>
          <t>BP032</t>
        </is>
      </c>
      <c r="E33" s="99">
        <f>INDEX(Lookup!$E$2:$E$51,MATCH(D33,Lookup!$D$2:$D$51,0))</f>
        <v/>
      </c>
      <c r="F33" s="99">
        <f>INDEX(Lookup!$F$2:$F$51,MATCH(D33,Lookup!$D$2:$D$51,0))</f>
        <v/>
      </c>
      <c r="G33" s="100" t="n">
        <v>40</v>
      </c>
      <c r="H33" s="100" t="n">
        <v>20</v>
      </c>
      <c r="I33" s="100" t="n">
        <v>158</v>
      </c>
      <c r="J33" s="100" t="n">
        <v>5</v>
      </c>
      <c r="K33" s="100" t="n">
        <v>38</v>
      </c>
      <c r="L33" s="100" t="n">
        <v>1</v>
      </c>
      <c r="M33" s="100" t="n">
        <v>0</v>
      </c>
      <c r="N33" s="99" t="inlineStr">
        <is>
          <t>Reorder Required</t>
        </is>
      </c>
      <c r="O33" s="100">
        <f>G33+H33</f>
        <v/>
      </c>
      <c r="P33" s="100">
        <f>G33+H33-I33-J33</f>
        <v/>
      </c>
      <c r="Q33" s="100">
        <f>MAX(0,P33)</f>
        <v/>
      </c>
      <c r="R33" s="100">
        <f>MAX(0,-P33)</f>
        <v/>
      </c>
      <c r="S33" s="101">
        <f>IFERROR(J33/O33,0)</f>
        <v/>
      </c>
      <c r="T33" s="101">
        <f>IFERROR(I33/O33,0)</f>
        <v/>
      </c>
      <c r="U33" s="102">
        <f>IF(P33&lt;=K33,"Reorder Required","Stock Sufficient")</f>
        <v/>
      </c>
      <c r="V33" s="102">
        <f>IF(AND(Q33=M33,(U33="Reorder Required")=(N33="Reorder Required")),"OK","Mismatch")</f>
        <v/>
      </c>
      <c r="W33" s="99" t="inlineStr">
        <is>
          <t>Restock immediately</t>
        </is>
      </c>
    </row>
    <row r="34">
      <c r="A34" s="99" t="inlineStr">
        <is>
          <t>INV00033</t>
        </is>
      </c>
      <c r="B34" s="99" t="inlineStr">
        <is>
          <t>OUT001</t>
        </is>
      </c>
      <c r="C34" s="99">
        <f>INDEX(Lookup!$B$2:$B$11,MATCH(B34,Lookup!$A$2:$A$11,0))</f>
        <v/>
      </c>
      <c r="D34" s="99" t="inlineStr">
        <is>
          <t>BP033</t>
        </is>
      </c>
      <c r="E34" s="99">
        <f>INDEX(Lookup!$E$2:$E$51,MATCH(D34,Lookup!$D$2:$D$51,0))</f>
        <v/>
      </c>
      <c r="F34" s="99">
        <f>INDEX(Lookup!$F$2:$F$51,MATCH(D34,Lookup!$D$2:$D$51,0))</f>
        <v/>
      </c>
      <c r="G34" s="100" t="n">
        <v>98</v>
      </c>
      <c r="H34" s="100" t="n">
        <v>46</v>
      </c>
      <c r="I34" s="100" t="n">
        <v>88</v>
      </c>
      <c r="J34" s="100" t="n">
        <v>5</v>
      </c>
      <c r="K34" s="100" t="n">
        <v>40</v>
      </c>
      <c r="L34" s="100" t="n">
        <v>5</v>
      </c>
      <c r="M34" s="100" t="n">
        <v>51</v>
      </c>
      <c r="N34" s="99" t="inlineStr">
        <is>
          <t>Healthy</t>
        </is>
      </c>
      <c r="O34" s="100">
        <f>G34+H34</f>
        <v/>
      </c>
      <c r="P34" s="100">
        <f>G34+H34-I34-J34</f>
        <v/>
      </c>
      <c r="Q34" s="100">
        <f>MAX(0,P34)</f>
        <v/>
      </c>
      <c r="R34" s="100">
        <f>MAX(0,-P34)</f>
        <v/>
      </c>
      <c r="S34" s="101">
        <f>IFERROR(J34/O34,0)</f>
        <v/>
      </c>
      <c r="T34" s="101">
        <f>IFERROR(I34/O34,0)</f>
        <v/>
      </c>
      <c r="U34" s="102">
        <f>IF(P34&lt;=K34,"Reorder Required","Stock Sufficient")</f>
        <v/>
      </c>
      <c r="V34" s="102">
        <f>IF(AND(Q34=M34,(U34="Reorder Required")=(N34="Reorder Required")),"OK","Mismatch")</f>
        <v/>
      </c>
      <c r="W34" s="99" t="n"/>
    </row>
    <row r="35">
      <c r="A35" s="99" t="inlineStr">
        <is>
          <t>INV00034</t>
        </is>
      </c>
      <c r="B35" s="99" t="inlineStr">
        <is>
          <t>OUT001</t>
        </is>
      </c>
      <c r="C35" s="99">
        <f>INDEX(Lookup!$B$2:$B$11,MATCH(B35,Lookup!$A$2:$A$11,0))</f>
        <v/>
      </c>
      <c r="D35" s="99" t="inlineStr">
        <is>
          <t>BP034</t>
        </is>
      </c>
      <c r="E35" s="99">
        <f>INDEX(Lookup!$E$2:$E$51,MATCH(D35,Lookup!$D$2:$D$51,0))</f>
        <v/>
      </c>
      <c r="F35" s="99">
        <f>INDEX(Lookup!$F$2:$F$51,MATCH(D35,Lookup!$D$2:$D$51,0))</f>
        <v/>
      </c>
      <c r="G35" s="100" t="n">
        <v>90</v>
      </c>
      <c r="H35" s="100" t="n">
        <v>22</v>
      </c>
      <c r="I35" s="100" t="n">
        <v>93</v>
      </c>
      <c r="J35" s="100" t="n">
        <v>3</v>
      </c>
      <c r="K35" s="100" t="n">
        <v>32</v>
      </c>
      <c r="L35" s="100" t="n">
        <v>4</v>
      </c>
      <c r="M35" s="100" t="n">
        <v>16</v>
      </c>
      <c r="N35" s="99" t="inlineStr">
        <is>
          <t>Reorder Required</t>
        </is>
      </c>
      <c r="O35" s="100">
        <f>G35+H35</f>
        <v/>
      </c>
      <c r="P35" s="100">
        <f>G35+H35-I35-J35</f>
        <v/>
      </c>
      <c r="Q35" s="100">
        <f>MAX(0,P35)</f>
        <v/>
      </c>
      <c r="R35" s="100">
        <f>MAX(0,-P35)</f>
        <v/>
      </c>
      <c r="S35" s="101">
        <f>IFERROR(J35/O35,0)</f>
        <v/>
      </c>
      <c r="T35" s="101">
        <f>IFERROR(I35/O35,0)</f>
        <v/>
      </c>
      <c r="U35" s="102">
        <f>IF(P35&lt;=K35,"Reorder Required","Stock Sufficient")</f>
        <v/>
      </c>
      <c r="V35" s="102">
        <f>IF(AND(Q35=M35,(U35="Reorder Required")=(N35="Reorder Required")),"OK","Mismatch")</f>
        <v/>
      </c>
      <c r="W35" s="99" t="inlineStr">
        <is>
          <t>Restock immediately</t>
        </is>
      </c>
    </row>
    <row r="36">
      <c r="A36" s="99" t="inlineStr">
        <is>
          <t>INV00035</t>
        </is>
      </c>
      <c r="B36" s="99" t="inlineStr">
        <is>
          <t>OUT001</t>
        </is>
      </c>
      <c r="C36" s="99">
        <f>INDEX(Lookup!$B$2:$B$11,MATCH(B36,Lookup!$A$2:$A$11,0))</f>
        <v/>
      </c>
      <c r="D36" s="99" t="inlineStr">
        <is>
          <t>BP035</t>
        </is>
      </c>
      <c r="E36" s="99">
        <f>INDEX(Lookup!$E$2:$E$51,MATCH(D36,Lookup!$D$2:$D$51,0))</f>
        <v/>
      </c>
      <c r="F36" s="99">
        <f>INDEX(Lookup!$F$2:$F$51,MATCH(D36,Lookup!$D$2:$D$51,0))</f>
        <v/>
      </c>
      <c r="G36" s="100" t="n">
        <v>132</v>
      </c>
      <c r="H36" s="100" t="n">
        <v>53</v>
      </c>
      <c r="I36" s="100" t="n">
        <v>70</v>
      </c>
      <c r="J36" s="100" t="n">
        <v>7</v>
      </c>
      <c r="K36" s="100" t="n">
        <v>29</v>
      </c>
      <c r="L36" s="100" t="n">
        <v>5</v>
      </c>
      <c r="M36" s="100" t="n">
        <v>108</v>
      </c>
      <c r="N36" s="99" t="inlineStr">
        <is>
          <t>Healthy</t>
        </is>
      </c>
      <c r="O36" s="100">
        <f>G36+H36</f>
        <v/>
      </c>
      <c r="P36" s="100">
        <f>G36+H36-I36-J36</f>
        <v/>
      </c>
      <c r="Q36" s="100">
        <f>MAX(0,P36)</f>
        <v/>
      </c>
      <c r="R36" s="100">
        <f>MAX(0,-P36)</f>
        <v/>
      </c>
      <c r="S36" s="101">
        <f>IFERROR(J36/O36,0)</f>
        <v/>
      </c>
      <c r="T36" s="101">
        <f>IFERROR(I36/O36,0)</f>
        <v/>
      </c>
      <c r="U36" s="102">
        <f>IF(P36&lt;=K36,"Reorder Required","Stock Sufficient")</f>
        <v/>
      </c>
      <c r="V36" s="102">
        <f>IF(AND(Q36=M36,(U36="Reorder Required")=(N36="Reorder Required")),"OK","Mismatch")</f>
        <v/>
      </c>
      <c r="W36" s="99" t="n"/>
    </row>
    <row r="37">
      <c r="A37" s="99" t="inlineStr">
        <is>
          <t>INV00036</t>
        </is>
      </c>
      <c r="B37" s="99" t="inlineStr">
        <is>
          <t>OUT001</t>
        </is>
      </c>
      <c r="C37" s="99">
        <f>INDEX(Lookup!$B$2:$B$11,MATCH(B37,Lookup!$A$2:$A$11,0))</f>
        <v/>
      </c>
      <c r="D37" s="99" t="inlineStr">
        <is>
          <t>BP036</t>
        </is>
      </c>
      <c r="E37" s="99">
        <f>INDEX(Lookup!$E$2:$E$51,MATCH(D37,Lookup!$D$2:$D$51,0))</f>
        <v/>
      </c>
      <c r="F37" s="99">
        <f>INDEX(Lookup!$F$2:$F$51,MATCH(D37,Lookup!$D$2:$D$51,0))</f>
        <v/>
      </c>
      <c r="G37" s="100" t="n">
        <v>113</v>
      </c>
      <c r="H37" s="100" t="n">
        <v>64</v>
      </c>
      <c r="I37" s="100" t="n">
        <v>107</v>
      </c>
      <c r="J37" s="100" t="n">
        <v>5</v>
      </c>
      <c r="K37" s="100" t="n">
        <v>30</v>
      </c>
      <c r="L37" s="100" t="n">
        <v>4</v>
      </c>
      <c r="M37" s="100" t="n">
        <v>65</v>
      </c>
      <c r="N37" s="99" t="inlineStr">
        <is>
          <t>Healthy</t>
        </is>
      </c>
      <c r="O37" s="100">
        <f>G37+H37</f>
        <v/>
      </c>
      <c r="P37" s="100">
        <f>G37+H37-I37-J37</f>
        <v/>
      </c>
      <c r="Q37" s="100">
        <f>MAX(0,P37)</f>
        <v/>
      </c>
      <c r="R37" s="100">
        <f>MAX(0,-P37)</f>
        <v/>
      </c>
      <c r="S37" s="101">
        <f>IFERROR(J37/O37,0)</f>
        <v/>
      </c>
      <c r="T37" s="101">
        <f>IFERROR(I37/O37,0)</f>
        <v/>
      </c>
      <c r="U37" s="102">
        <f>IF(P37&lt;=K37,"Reorder Required","Stock Sufficient")</f>
        <v/>
      </c>
      <c r="V37" s="102">
        <f>IF(AND(Q37=M37,(U37="Reorder Required")=(N37="Reorder Required")),"OK","Mismatch")</f>
        <v/>
      </c>
      <c r="W37" s="99" t="n"/>
    </row>
    <row r="38">
      <c r="A38" s="99" t="inlineStr">
        <is>
          <t>INV00037</t>
        </is>
      </c>
      <c r="B38" s="99" t="inlineStr">
        <is>
          <t>OUT001</t>
        </is>
      </c>
      <c r="C38" s="99">
        <f>INDEX(Lookup!$B$2:$B$11,MATCH(B38,Lookup!$A$2:$A$11,0))</f>
        <v/>
      </c>
      <c r="D38" s="99" t="inlineStr">
        <is>
          <t>BP037</t>
        </is>
      </c>
      <c r="E38" s="99">
        <f>INDEX(Lookup!$E$2:$E$51,MATCH(D38,Lookup!$D$2:$D$51,0))</f>
        <v/>
      </c>
      <c r="F38" s="99">
        <f>INDEX(Lookup!$F$2:$F$51,MATCH(D38,Lookup!$D$2:$D$51,0))</f>
        <v/>
      </c>
      <c r="G38" s="100" t="n">
        <v>105</v>
      </c>
      <c r="H38" s="100" t="n">
        <v>65</v>
      </c>
      <c r="I38" s="100" t="n">
        <v>112</v>
      </c>
      <c r="J38" s="100" t="n">
        <v>2</v>
      </c>
      <c r="K38" s="100" t="n">
        <v>28</v>
      </c>
      <c r="L38" s="100" t="n">
        <v>2</v>
      </c>
      <c r="M38" s="100" t="n">
        <v>56</v>
      </c>
      <c r="N38" s="99" t="inlineStr">
        <is>
          <t>Healthy</t>
        </is>
      </c>
      <c r="O38" s="100">
        <f>G38+H38</f>
        <v/>
      </c>
      <c r="P38" s="100">
        <f>G38+H38-I38-J38</f>
        <v/>
      </c>
      <c r="Q38" s="100">
        <f>MAX(0,P38)</f>
        <v/>
      </c>
      <c r="R38" s="100">
        <f>MAX(0,-P38)</f>
        <v/>
      </c>
      <c r="S38" s="101">
        <f>IFERROR(J38/O38,0)</f>
        <v/>
      </c>
      <c r="T38" s="101">
        <f>IFERROR(I38/O38,0)</f>
        <v/>
      </c>
      <c r="U38" s="102">
        <f>IF(P38&lt;=K38,"Reorder Required","Stock Sufficient")</f>
        <v/>
      </c>
      <c r="V38" s="102">
        <f>IF(AND(Q38=M38,(U38="Reorder Required")=(N38="Reorder Required")),"OK","Mismatch")</f>
        <v/>
      </c>
      <c r="W38" s="99" t="n"/>
    </row>
    <row r="39">
      <c r="A39" s="99" t="inlineStr">
        <is>
          <t>INV00038</t>
        </is>
      </c>
      <c r="B39" s="99" t="inlineStr">
        <is>
          <t>OUT001</t>
        </is>
      </c>
      <c r="C39" s="99">
        <f>INDEX(Lookup!$B$2:$B$11,MATCH(B39,Lookup!$A$2:$A$11,0))</f>
        <v/>
      </c>
      <c r="D39" s="99" t="inlineStr">
        <is>
          <t>BP038</t>
        </is>
      </c>
      <c r="E39" s="99">
        <f>INDEX(Lookup!$E$2:$E$51,MATCH(D39,Lookup!$D$2:$D$51,0))</f>
        <v/>
      </c>
      <c r="F39" s="99">
        <f>INDEX(Lookup!$F$2:$F$51,MATCH(D39,Lookup!$D$2:$D$51,0))</f>
        <v/>
      </c>
      <c r="G39" s="100" t="n">
        <v>97</v>
      </c>
      <c r="H39" s="100" t="n">
        <v>43</v>
      </c>
      <c r="I39" s="100" t="n">
        <v>139</v>
      </c>
      <c r="J39" s="100" t="n">
        <v>4</v>
      </c>
      <c r="K39" s="100" t="n">
        <v>39</v>
      </c>
      <c r="L39" s="100" t="n">
        <v>4</v>
      </c>
      <c r="M39" s="100" t="n">
        <v>0</v>
      </c>
      <c r="N39" s="99" t="inlineStr">
        <is>
          <t>Reorder Required</t>
        </is>
      </c>
      <c r="O39" s="100">
        <f>G39+H39</f>
        <v/>
      </c>
      <c r="P39" s="100">
        <f>G39+H39-I39-J39</f>
        <v/>
      </c>
      <c r="Q39" s="100">
        <f>MAX(0,P39)</f>
        <v/>
      </c>
      <c r="R39" s="100">
        <f>MAX(0,-P39)</f>
        <v/>
      </c>
      <c r="S39" s="101">
        <f>IFERROR(J39/O39,0)</f>
        <v/>
      </c>
      <c r="T39" s="101">
        <f>IFERROR(I39/O39,0)</f>
        <v/>
      </c>
      <c r="U39" s="102">
        <f>IF(P39&lt;=K39,"Reorder Required","Stock Sufficient")</f>
        <v/>
      </c>
      <c r="V39" s="102">
        <f>IF(AND(Q39=M39,(U39="Reorder Required")=(N39="Reorder Required")),"OK","Mismatch")</f>
        <v/>
      </c>
      <c r="W39" s="99" t="inlineStr">
        <is>
          <t>Restock immediately</t>
        </is>
      </c>
    </row>
    <row r="40">
      <c r="A40" s="99" t="inlineStr">
        <is>
          <t>INV00039</t>
        </is>
      </c>
      <c r="B40" s="99" t="inlineStr">
        <is>
          <t>OUT001</t>
        </is>
      </c>
      <c r="C40" s="99">
        <f>INDEX(Lookup!$B$2:$B$11,MATCH(B40,Lookup!$A$2:$A$11,0))</f>
        <v/>
      </c>
      <c r="D40" s="99" t="inlineStr">
        <is>
          <t>BP039</t>
        </is>
      </c>
      <c r="E40" s="99">
        <f>INDEX(Lookup!$E$2:$E$51,MATCH(D40,Lookup!$D$2:$D$51,0))</f>
        <v/>
      </c>
      <c r="F40" s="99">
        <f>INDEX(Lookup!$F$2:$F$51,MATCH(D40,Lookup!$D$2:$D$51,0))</f>
        <v/>
      </c>
      <c r="G40" s="100" t="n">
        <v>143</v>
      </c>
      <c r="H40" s="100" t="n">
        <v>60</v>
      </c>
      <c r="I40" s="100" t="n">
        <v>80</v>
      </c>
      <c r="J40" s="100" t="n">
        <v>7</v>
      </c>
      <c r="K40" s="100" t="n">
        <v>38</v>
      </c>
      <c r="L40" s="100" t="n">
        <v>4</v>
      </c>
      <c r="M40" s="100" t="n">
        <v>116</v>
      </c>
      <c r="N40" s="99" t="inlineStr">
        <is>
          <t>Healthy</t>
        </is>
      </c>
      <c r="O40" s="100">
        <f>G40+H40</f>
        <v/>
      </c>
      <c r="P40" s="100">
        <f>G40+H40-I40-J40</f>
        <v/>
      </c>
      <c r="Q40" s="100">
        <f>MAX(0,P40)</f>
        <v/>
      </c>
      <c r="R40" s="100">
        <f>MAX(0,-P40)</f>
        <v/>
      </c>
      <c r="S40" s="101">
        <f>IFERROR(J40/O40,0)</f>
        <v/>
      </c>
      <c r="T40" s="101">
        <f>IFERROR(I40/O40,0)</f>
        <v/>
      </c>
      <c r="U40" s="102">
        <f>IF(P40&lt;=K40,"Reorder Required","Stock Sufficient")</f>
        <v/>
      </c>
      <c r="V40" s="102">
        <f>IF(AND(Q40=M40,(U40="Reorder Required")=(N40="Reorder Required")),"OK","Mismatch")</f>
        <v/>
      </c>
      <c r="W40" s="99" t="n"/>
    </row>
    <row r="41">
      <c r="A41" s="99" t="inlineStr">
        <is>
          <t>INV00040</t>
        </is>
      </c>
      <c r="B41" s="99" t="inlineStr">
        <is>
          <t>OUT001</t>
        </is>
      </c>
      <c r="C41" s="99">
        <f>INDEX(Lookup!$B$2:$B$11,MATCH(B41,Lookup!$A$2:$A$11,0))</f>
        <v/>
      </c>
      <c r="D41" s="99" t="inlineStr">
        <is>
          <t>BP040</t>
        </is>
      </c>
      <c r="E41" s="99">
        <f>INDEX(Lookup!$E$2:$E$51,MATCH(D41,Lookup!$D$2:$D$51,0))</f>
        <v/>
      </c>
      <c r="F41" s="99">
        <f>INDEX(Lookup!$F$2:$F$51,MATCH(D41,Lookup!$D$2:$D$51,0))</f>
        <v/>
      </c>
      <c r="G41" s="100" t="n">
        <v>115</v>
      </c>
      <c r="H41" s="100" t="n">
        <v>79</v>
      </c>
      <c r="I41" s="100" t="n">
        <v>80</v>
      </c>
      <c r="J41" s="100" t="n">
        <v>8</v>
      </c>
      <c r="K41" s="100" t="n">
        <v>30</v>
      </c>
      <c r="L41" s="100" t="n">
        <v>2</v>
      </c>
      <c r="M41" s="100" t="n">
        <v>106</v>
      </c>
      <c r="N41" s="99" t="inlineStr">
        <is>
          <t>Healthy</t>
        </is>
      </c>
      <c r="O41" s="100">
        <f>G41+H41</f>
        <v/>
      </c>
      <c r="P41" s="100">
        <f>G41+H41-I41-J41</f>
        <v/>
      </c>
      <c r="Q41" s="100">
        <f>MAX(0,P41)</f>
        <v/>
      </c>
      <c r="R41" s="100">
        <f>MAX(0,-P41)</f>
        <v/>
      </c>
      <c r="S41" s="101">
        <f>IFERROR(J41/O41,0)</f>
        <v/>
      </c>
      <c r="T41" s="101">
        <f>IFERROR(I41/O41,0)</f>
        <v/>
      </c>
      <c r="U41" s="102">
        <f>IF(P41&lt;=K41,"Reorder Required","Stock Sufficient")</f>
        <v/>
      </c>
      <c r="V41" s="102">
        <f>IF(AND(Q41=M41,(U41="Reorder Required")=(N41="Reorder Required")),"OK","Mismatch")</f>
        <v/>
      </c>
      <c r="W41" s="99" t="n"/>
    </row>
    <row r="42">
      <c r="A42" s="99" t="inlineStr">
        <is>
          <t>INV00041</t>
        </is>
      </c>
      <c r="B42" s="99" t="inlineStr">
        <is>
          <t>OUT001</t>
        </is>
      </c>
      <c r="C42" s="99">
        <f>INDEX(Lookup!$B$2:$B$11,MATCH(B42,Lookup!$A$2:$A$11,0))</f>
        <v/>
      </c>
      <c r="D42" s="99" t="inlineStr">
        <is>
          <t>BP041</t>
        </is>
      </c>
      <c r="E42" s="99">
        <f>INDEX(Lookup!$E$2:$E$51,MATCH(D42,Lookup!$D$2:$D$51,0))</f>
        <v/>
      </c>
      <c r="F42" s="99">
        <f>INDEX(Lookup!$F$2:$F$51,MATCH(D42,Lookup!$D$2:$D$51,0))</f>
        <v/>
      </c>
      <c r="G42" s="100" t="n">
        <v>115</v>
      </c>
      <c r="H42" s="100" t="n">
        <v>99</v>
      </c>
      <c r="I42" s="100" t="n">
        <v>95</v>
      </c>
      <c r="J42" s="100" t="n">
        <v>0</v>
      </c>
      <c r="K42" s="100" t="n">
        <v>30</v>
      </c>
      <c r="L42" s="100" t="n">
        <v>5</v>
      </c>
      <c r="M42" s="100" t="n">
        <v>119</v>
      </c>
      <c r="N42" s="99" t="inlineStr">
        <is>
          <t>Healthy</t>
        </is>
      </c>
      <c r="O42" s="100">
        <f>G42+H42</f>
        <v/>
      </c>
      <c r="P42" s="100">
        <f>G42+H42-I42-J42</f>
        <v/>
      </c>
      <c r="Q42" s="100">
        <f>MAX(0,P42)</f>
        <v/>
      </c>
      <c r="R42" s="100">
        <f>MAX(0,-P42)</f>
        <v/>
      </c>
      <c r="S42" s="101">
        <f>IFERROR(J42/O42,0)</f>
        <v/>
      </c>
      <c r="T42" s="101">
        <f>IFERROR(I42/O42,0)</f>
        <v/>
      </c>
      <c r="U42" s="102">
        <f>IF(P42&lt;=K42,"Reorder Required","Stock Sufficient")</f>
        <v/>
      </c>
      <c r="V42" s="102">
        <f>IF(AND(Q42=M42,(U42="Reorder Required")=(N42="Reorder Required")),"OK","Mismatch")</f>
        <v/>
      </c>
      <c r="W42" s="99" t="n"/>
    </row>
    <row r="43">
      <c r="A43" s="99" t="inlineStr">
        <is>
          <t>INV00042</t>
        </is>
      </c>
      <c r="B43" s="99" t="inlineStr">
        <is>
          <t>OUT001</t>
        </is>
      </c>
      <c r="C43" s="99">
        <f>INDEX(Lookup!$B$2:$B$11,MATCH(B43,Lookup!$A$2:$A$11,0))</f>
        <v/>
      </c>
      <c r="D43" s="99" t="inlineStr">
        <is>
          <t>BP042</t>
        </is>
      </c>
      <c r="E43" s="99">
        <f>INDEX(Lookup!$E$2:$E$51,MATCH(D43,Lookup!$D$2:$D$51,0))</f>
        <v/>
      </c>
      <c r="F43" s="99">
        <f>INDEX(Lookup!$F$2:$F$51,MATCH(D43,Lookup!$D$2:$D$51,0))</f>
        <v/>
      </c>
      <c r="G43" s="100" t="n">
        <v>51</v>
      </c>
      <c r="H43" s="100" t="n">
        <v>48</v>
      </c>
      <c r="I43" s="100" t="n">
        <v>111</v>
      </c>
      <c r="J43" s="100" t="n">
        <v>2</v>
      </c>
      <c r="K43" s="100" t="n">
        <v>15</v>
      </c>
      <c r="L43" s="100" t="n">
        <v>2</v>
      </c>
      <c r="M43" s="100" t="n">
        <v>0</v>
      </c>
      <c r="N43" s="99" t="inlineStr">
        <is>
          <t>Reorder Required</t>
        </is>
      </c>
      <c r="O43" s="100">
        <f>G43+H43</f>
        <v/>
      </c>
      <c r="P43" s="100">
        <f>G43+H43-I43-J43</f>
        <v/>
      </c>
      <c r="Q43" s="100">
        <f>MAX(0,P43)</f>
        <v/>
      </c>
      <c r="R43" s="100">
        <f>MAX(0,-P43)</f>
        <v/>
      </c>
      <c r="S43" s="101">
        <f>IFERROR(J43/O43,0)</f>
        <v/>
      </c>
      <c r="T43" s="101">
        <f>IFERROR(I43/O43,0)</f>
        <v/>
      </c>
      <c r="U43" s="102">
        <f>IF(P43&lt;=K43,"Reorder Required","Stock Sufficient")</f>
        <v/>
      </c>
      <c r="V43" s="102">
        <f>IF(AND(Q43=M43,(U43="Reorder Required")=(N43="Reorder Required")),"OK","Mismatch")</f>
        <v/>
      </c>
      <c r="W43" s="99" t="inlineStr">
        <is>
          <t>Restock immediately</t>
        </is>
      </c>
    </row>
    <row r="44">
      <c r="A44" s="99" t="inlineStr">
        <is>
          <t>INV00043</t>
        </is>
      </c>
      <c r="B44" s="99" t="inlineStr">
        <is>
          <t>OUT001</t>
        </is>
      </c>
      <c r="C44" s="99">
        <f>INDEX(Lookup!$B$2:$B$11,MATCH(B44,Lookup!$A$2:$A$11,0))</f>
        <v/>
      </c>
      <c r="D44" s="99" t="inlineStr">
        <is>
          <t>BP043</t>
        </is>
      </c>
      <c r="E44" s="99">
        <f>INDEX(Lookup!$E$2:$E$51,MATCH(D44,Lookup!$D$2:$D$51,0))</f>
        <v/>
      </c>
      <c r="F44" s="99">
        <f>INDEX(Lookup!$F$2:$F$51,MATCH(D44,Lookup!$D$2:$D$51,0))</f>
        <v/>
      </c>
      <c r="G44" s="100" t="n">
        <v>101</v>
      </c>
      <c r="H44" s="100" t="n">
        <v>45</v>
      </c>
      <c r="I44" s="100" t="n">
        <v>96</v>
      </c>
      <c r="J44" s="100" t="n">
        <v>1</v>
      </c>
      <c r="K44" s="100" t="n">
        <v>38</v>
      </c>
      <c r="L44" s="100" t="n">
        <v>2</v>
      </c>
      <c r="M44" s="100" t="n">
        <v>49</v>
      </c>
      <c r="N44" s="99" t="inlineStr">
        <is>
          <t>Healthy</t>
        </is>
      </c>
      <c r="O44" s="100">
        <f>G44+H44</f>
        <v/>
      </c>
      <c r="P44" s="100">
        <f>G44+H44-I44-J44</f>
        <v/>
      </c>
      <c r="Q44" s="100">
        <f>MAX(0,P44)</f>
        <v/>
      </c>
      <c r="R44" s="100">
        <f>MAX(0,-P44)</f>
        <v/>
      </c>
      <c r="S44" s="101">
        <f>IFERROR(J44/O44,0)</f>
        <v/>
      </c>
      <c r="T44" s="101">
        <f>IFERROR(I44/O44,0)</f>
        <v/>
      </c>
      <c r="U44" s="102">
        <f>IF(P44&lt;=K44,"Reorder Required","Stock Sufficient")</f>
        <v/>
      </c>
      <c r="V44" s="102">
        <f>IF(AND(Q44=M44,(U44="Reorder Required")=(N44="Reorder Required")),"OK","Mismatch")</f>
        <v/>
      </c>
      <c r="W44" s="99" t="n"/>
    </row>
    <row r="45">
      <c r="A45" s="99" t="inlineStr">
        <is>
          <t>INV00044</t>
        </is>
      </c>
      <c r="B45" s="99" t="inlineStr">
        <is>
          <t>OUT001</t>
        </is>
      </c>
      <c r="C45" s="99">
        <f>INDEX(Lookup!$B$2:$B$11,MATCH(B45,Lookup!$A$2:$A$11,0))</f>
        <v/>
      </c>
      <c r="D45" s="99" t="inlineStr">
        <is>
          <t>BP044</t>
        </is>
      </c>
      <c r="E45" s="99">
        <f>INDEX(Lookup!$E$2:$E$51,MATCH(D45,Lookup!$D$2:$D$51,0))</f>
        <v/>
      </c>
      <c r="F45" s="99">
        <f>INDEX(Lookup!$F$2:$F$51,MATCH(D45,Lookup!$D$2:$D$51,0))</f>
        <v/>
      </c>
      <c r="G45" s="100" t="n">
        <v>41</v>
      </c>
      <c r="H45" s="100" t="n">
        <v>50</v>
      </c>
      <c r="I45" s="100" t="n">
        <v>139</v>
      </c>
      <c r="J45" s="100" t="n">
        <v>3</v>
      </c>
      <c r="K45" s="100" t="n">
        <v>19</v>
      </c>
      <c r="L45" s="100" t="n">
        <v>5</v>
      </c>
      <c r="M45" s="100" t="n">
        <v>0</v>
      </c>
      <c r="N45" s="99" t="inlineStr">
        <is>
          <t>Reorder Required</t>
        </is>
      </c>
      <c r="O45" s="100">
        <f>G45+H45</f>
        <v/>
      </c>
      <c r="P45" s="100">
        <f>G45+H45-I45-J45</f>
        <v/>
      </c>
      <c r="Q45" s="100">
        <f>MAX(0,P45)</f>
        <v/>
      </c>
      <c r="R45" s="100">
        <f>MAX(0,-P45)</f>
        <v/>
      </c>
      <c r="S45" s="101">
        <f>IFERROR(J45/O45,0)</f>
        <v/>
      </c>
      <c r="T45" s="101">
        <f>IFERROR(I45/O45,0)</f>
        <v/>
      </c>
      <c r="U45" s="102">
        <f>IF(P45&lt;=K45,"Reorder Required","Stock Sufficient")</f>
        <v/>
      </c>
      <c r="V45" s="102">
        <f>IF(AND(Q45=M45,(U45="Reorder Required")=(N45="Reorder Required")),"OK","Mismatch")</f>
        <v/>
      </c>
      <c r="W45" s="99" t="inlineStr">
        <is>
          <t>Restock immediately</t>
        </is>
      </c>
    </row>
    <row r="46">
      <c r="A46" s="99" t="inlineStr">
        <is>
          <t>INV00045</t>
        </is>
      </c>
      <c r="B46" s="99" t="inlineStr">
        <is>
          <t>OUT001</t>
        </is>
      </c>
      <c r="C46" s="99">
        <f>INDEX(Lookup!$B$2:$B$11,MATCH(B46,Lookup!$A$2:$A$11,0))</f>
        <v/>
      </c>
      <c r="D46" s="99" t="inlineStr">
        <is>
          <t>BP045</t>
        </is>
      </c>
      <c r="E46" s="99">
        <f>INDEX(Lookup!$E$2:$E$51,MATCH(D46,Lookup!$D$2:$D$51,0))</f>
        <v/>
      </c>
      <c r="F46" s="99">
        <f>INDEX(Lookup!$F$2:$F$51,MATCH(D46,Lookup!$D$2:$D$51,0))</f>
        <v/>
      </c>
      <c r="G46" s="100" t="n">
        <v>79</v>
      </c>
      <c r="H46" s="100" t="n">
        <v>51</v>
      </c>
      <c r="I46" s="100" t="n">
        <v>79</v>
      </c>
      <c r="J46" s="100" t="n">
        <v>0</v>
      </c>
      <c r="K46" s="100" t="n">
        <v>35</v>
      </c>
      <c r="L46" s="100" t="n">
        <v>5</v>
      </c>
      <c r="M46" s="100" t="n">
        <v>51</v>
      </c>
      <c r="N46" s="99" t="inlineStr">
        <is>
          <t>Healthy</t>
        </is>
      </c>
      <c r="O46" s="100">
        <f>G46+H46</f>
        <v/>
      </c>
      <c r="P46" s="100">
        <f>G46+H46-I46-J46</f>
        <v/>
      </c>
      <c r="Q46" s="100">
        <f>MAX(0,P46)</f>
        <v/>
      </c>
      <c r="R46" s="100">
        <f>MAX(0,-P46)</f>
        <v/>
      </c>
      <c r="S46" s="101">
        <f>IFERROR(J46/O46,0)</f>
        <v/>
      </c>
      <c r="T46" s="101">
        <f>IFERROR(I46/O46,0)</f>
        <v/>
      </c>
      <c r="U46" s="102">
        <f>IF(P46&lt;=K46,"Reorder Required","Stock Sufficient")</f>
        <v/>
      </c>
      <c r="V46" s="102">
        <f>IF(AND(Q46=M46,(U46="Reorder Required")=(N46="Reorder Required")),"OK","Mismatch")</f>
        <v/>
      </c>
      <c r="W46" s="99" t="n"/>
    </row>
    <row r="47">
      <c r="A47" s="99" t="inlineStr">
        <is>
          <t>INV00046</t>
        </is>
      </c>
      <c r="B47" s="99" t="inlineStr">
        <is>
          <t>OUT001</t>
        </is>
      </c>
      <c r="C47" s="99">
        <f>INDEX(Lookup!$B$2:$B$11,MATCH(B47,Lookup!$A$2:$A$11,0))</f>
        <v/>
      </c>
      <c r="D47" s="99" t="inlineStr">
        <is>
          <t>BP046</t>
        </is>
      </c>
      <c r="E47" s="99">
        <f>INDEX(Lookup!$E$2:$E$51,MATCH(D47,Lookup!$D$2:$D$51,0))</f>
        <v/>
      </c>
      <c r="F47" s="99">
        <f>INDEX(Lookup!$F$2:$F$51,MATCH(D47,Lookup!$D$2:$D$51,0))</f>
        <v/>
      </c>
      <c r="G47" s="100" t="n">
        <v>109</v>
      </c>
      <c r="H47" s="100" t="n">
        <v>42</v>
      </c>
      <c r="I47" s="100" t="n">
        <v>111</v>
      </c>
      <c r="J47" s="100" t="n">
        <v>2</v>
      </c>
      <c r="K47" s="100" t="n">
        <v>35</v>
      </c>
      <c r="L47" s="100" t="n">
        <v>1</v>
      </c>
      <c r="M47" s="100" t="n">
        <v>38</v>
      </c>
      <c r="N47" s="99" t="inlineStr">
        <is>
          <t>Healthy</t>
        </is>
      </c>
      <c r="O47" s="100">
        <f>G47+H47</f>
        <v/>
      </c>
      <c r="P47" s="100">
        <f>G47+H47-I47-J47</f>
        <v/>
      </c>
      <c r="Q47" s="100">
        <f>MAX(0,P47)</f>
        <v/>
      </c>
      <c r="R47" s="100">
        <f>MAX(0,-P47)</f>
        <v/>
      </c>
      <c r="S47" s="101">
        <f>IFERROR(J47/O47,0)</f>
        <v/>
      </c>
      <c r="T47" s="101">
        <f>IFERROR(I47/O47,0)</f>
        <v/>
      </c>
      <c r="U47" s="102">
        <f>IF(P47&lt;=K47,"Reorder Required","Stock Sufficient")</f>
        <v/>
      </c>
      <c r="V47" s="102">
        <f>IF(AND(Q47=M47,(U47="Reorder Required")=(N47="Reorder Required")),"OK","Mismatch")</f>
        <v/>
      </c>
      <c r="W47" s="99" t="n"/>
    </row>
    <row r="48">
      <c r="A48" s="99" t="inlineStr">
        <is>
          <t>INV00047</t>
        </is>
      </c>
      <c r="B48" s="99" t="inlineStr">
        <is>
          <t>OUT001</t>
        </is>
      </c>
      <c r="C48" s="99">
        <f>INDEX(Lookup!$B$2:$B$11,MATCH(B48,Lookup!$A$2:$A$11,0))</f>
        <v/>
      </c>
      <c r="D48" s="99" t="inlineStr">
        <is>
          <t>BP047</t>
        </is>
      </c>
      <c r="E48" s="99">
        <f>INDEX(Lookup!$E$2:$E$51,MATCH(D48,Lookup!$D$2:$D$51,0))</f>
        <v/>
      </c>
      <c r="F48" s="99">
        <f>INDEX(Lookup!$F$2:$F$51,MATCH(D48,Lookup!$D$2:$D$51,0))</f>
        <v/>
      </c>
      <c r="G48" s="100" t="n">
        <v>147</v>
      </c>
      <c r="H48" s="100" t="n">
        <v>72</v>
      </c>
      <c r="I48" s="100" t="n">
        <v>86</v>
      </c>
      <c r="J48" s="100" t="n">
        <v>2</v>
      </c>
      <c r="K48" s="100" t="n">
        <v>40</v>
      </c>
      <c r="L48" s="100" t="n">
        <v>5</v>
      </c>
      <c r="M48" s="100" t="n">
        <v>131</v>
      </c>
      <c r="N48" s="99" t="inlineStr">
        <is>
          <t>Healthy</t>
        </is>
      </c>
      <c r="O48" s="100">
        <f>G48+H48</f>
        <v/>
      </c>
      <c r="P48" s="100">
        <f>G48+H48-I48-J48</f>
        <v/>
      </c>
      <c r="Q48" s="100">
        <f>MAX(0,P48)</f>
        <v/>
      </c>
      <c r="R48" s="100">
        <f>MAX(0,-P48)</f>
        <v/>
      </c>
      <c r="S48" s="101">
        <f>IFERROR(J48/O48,0)</f>
        <v/>
      </c>
      <c r="T48" s="101">
        <f>IFERROR(I48/O48,0)</f>
        <v/>
      </c>
      <c r="U48" s="102">
        <f>IF(P48&lt;=K48,"Reorder Required","Stock Sufficient")</f>
        <v/>
      </c>
      <c r="V48" s="102">
        <f>IF(AND(Q48=M48,(U48="Reorder Required")=(N48="Reorder Required")),"OK","Mismatch")</f>
        <v/>
      </c>
      <c r="W48" s="99" t="n"/>
    </row>
    <row r="49">
      <c r="A49" s="99" t="inlineStr">
        <is>
          <t>INV00048</t>
        </is>
      </c>
      <c r="B49" s="99" t="inlineStr">
        <is>
          <t>OUT001</t>
        </is>
      </c>
      <c r="C49" s="99">
        <f>INDEX(Lookup!$B$2:$B$11,MATCH(B49,Lookup!$A$2:$A$11,0))</f>
        <v/>
      </c>
      <c r="D49" s="99" t="inlineStr">
        <is>
          <t>BP048</t>
        </is>
      </c>
      <c r="E49" s="99">
        <f>INDEX(Lookup!$E$2:$E$51,MATCH(D49,Lookup!$D$2:$D$51,0))</f>
        <v/>
      </c>
      <c r="F49" s="99">
        <f>INDEX(Lookup!$F$2:$F$51,MATCH(D49,Lookup!$D$2:$D$51,0))</f>
        <v/>
      </c>
      <c r="G49" s="100" t="n">
        <v>66</v>
      </c>
      <c r="H49" s="100" t="n">
        <v>88</v>
      </c>
      <c r="I49" s="100" t="n">
        <v>75</v>
      </c>
      <c r="J49" s="100" t="n">
        <v>2</v>
      </c>
      <c r="K49" s="100" t="n">
        <v>30</v>
      </c>
      <c r="L49" s="100" t="n">
        <v>5</v>
      </c>
      <c r="M49" s="100" t="n">
        <v>77</v>
      </c>
      <c r="N49" s="99" t="inlineStr">
        <is>
          <t>Healthy</t>
        </is>
      </c>
      <c r="O49" s="100">
        <f>G49+H49</f>
        <v/>
      </c>
      <c r="P49" s="100">
        <f>G49+H49-I49-J49</f>
        <v/>
      </c>
      <c r="Q49" s="100">
        <f>MAX(0,P49)</f>
        <v/>
      </c>
      <c r="R49" s="100">
        <f>MAX(0,-P49)</f>
        <v/>
      </c>
      <c r="S49" s="101">
        <f>IFERROR(J49/O49,0)</f>
        <v/>
      </c>
      <c r="T49" s="101">
        <f>IFERROR(I49/O49,0)</f>
        <v/>
      </c>
      <c r="U49" s="102">
        <f>IF(P49&lt;=K49,"Reorder Required","Stock Sufficient")</f>
        <v/>
      </c>
      <c r="V49" s="102">
        <f>IF(AND(Q49=M49,(U49="Reorder Required")=(N49="Reorder Required")),"OK","Mismatch")</f>
        <v/>
      </c>
      <c r="W49" s="99" t="n"/>
    </row>
    <row r="50">
      <c r="A50" s="99" t="inlineStr">
        <is>
          <t>INV00049</t>
        </is>
      </c>
      <c r="B50" s="99" t="inlineStr">
        <is>
          <t>OUT001</t>
        </is>
      </c>
      <c r="C50" s="99">
        <f>INDEX(Lookup!$B$2:$B$11,MATCH(B50,Lookup!$A$2:$A$11,0))</f>
        <v/>
      </c>
      <c r="D50" s="99" t="inlineStr">
        <is>
          <t>BP049</t>
        </is>
      </c>
      <c r="E50" s="99">
        <f>INDEX(Lookup!$E$2:$E$51,MATCH(D50,Lookup!$D$2:$D$51,0))</f>
        <v/>
      </c>
      <c r="F50" s="99">
        <f>INDEX(Lookup!$F$2:$F$51,MATCH(D50,Lookup!$D$2:$D$51,0))</f>
        <v/>
      </c>
      <c r="G50" s="100" t="n">
        <v>94</v>
      </c>
      <c r="H50" s="100" t="n">
        <v>41</v>
      </c>
      <c r="I50" s="100" t="n">
        <v>143</v>
      </c>
      <c r="J50" s="100" t="n">
        <v>2</v>
      </c>
      <c r="K50" s="100" t="n">
        <v>33</v>
      </c>
      <c r="L50" s="100" t="n">
        <v>3</v>
      </c>
      <c r="M50" s="100" t="n">
        <v>0</v>
      </c>
      <c r="N50" s="99" t="inlineStr">
        <is>
          <t>Reorder Required</t>
        </is>
      </c>
      <c r="O50" s="100">
        <f>G50+H50</f>
        <v/>
      </c>
      <c r="P50" s="100">
        <f>G50+H50-I50-J50</f>
        <v/>
      </c>
      <c r="Q50" s="100">
        <f>MAX(0,P50)</f>
        <v/>
      </c>
      <c r="R50" s="100">
        <f>MAX(0,-P50)</f>
        <v/>
      </c>
      <c r="S50" s="101">
        <f>IFERROR(J50/O50,0)</f>
        <v/>
      </c>
      <c r="T50" s="101">
        <f>IFERROR(I50/O50,0)</f>
        <v/>
      </c>
      <c r="U50" s="102">
        <f>IF(P50&lt;=K50,"Reorder Required","Stock Sufficient")</f>
        <v/>
      </c>
      <c r="V50" s="102">
        <f>IF(AND(Q50=M50,(U50="Reorder Required")=(N50="Reorder Required")),"OK","Mismatch")</f>
        <v/>
      </c>
      <c r="W50" s="99" t="inlineStr">
        <is>
          <t>Restock immediately</t>
        </is>
      </c>
    </row>
    <row r="51">
      <c r="A51" s="99" t="inlineStr">
        <is>
          <t>INV00050</t>
        </is>
      </c>
      <c r="B51" s="99" t="inlineStr">
        <is>
          <t>OUT001</t>
        </is>
      </c>
      <c r="C51" s="99">
        <f>INDEX(Lookup!$B$2:$B$11,MATCH(B51,Lookup!$A$2:$A$11,0))</f>
        <v/>
      </c>
      <c r="D51" s="99" t="inlineStr">
        <is>
          <t>BP050</t>
        </is>
      </c>
      <c r="E51" s="99">
        <f>INDEX(Lookup!$E$2:$E$51,MATCH(D51,Lookup!$D$2:$D$51,0))</f>
        <v/>
      </c>
      <c r="F51" s="99">
        <f>INDEX(Lookup!$F$2:$F$51,MATCH(D51,Lookup!$D$2:$D$51,0))</f>
        <v/>
      </c>
      <c r="G51" s="100" t="n">
        <v>89</v>
      </c>
      <c r="H51" s="100" t="n">
        <v>73</v>
      </c>
      <c r="I51" s="100" t="n">
        <v>130</v>
      </c>
      <c r="J51" s="100" t="n">
        <v>2</v>
      </c>
      <c r="K51" s="100" t="n">
        <v>17</v>
      </c>
      <c r="L51" s="100" t="n">
        <v>2</v>
      </c>
      <c r="M51" s="100" t="n">
        <v>30</v>
      </c>
      <c r="N51" s="99" t="inlineStr">
        <is>
          <t>Healthy</t>
        </is>
      </c>
      <c r="O51" s="100">
        <f>G51+H51</f>
        <v/>
      </c>
      <c r="P51" s="100">
        <f>G51+H51-I51-J51</f>
        <v/>
      </c>
      <c r="Q51" s="100">
        <f>MAX(0,P51)</f>
        <v/>
      </c>
      <c r="R51" s="100">
        <f>MAX(0,-P51)</f>
        <v/>
      </c>
      <c r="S51" s="101">
        <f>IFERROR(J51/O51,0)</f>
        <v/>
      </c>
      <c r="T51" s="101">
        <f>IFERROR(I51/O51,0)</f>
        <v/>
      </c>
      <c r="U51" s="102">
        <f>IF(P51&lt;=K51,"Reorder Required","Stock Sufficient")</f>
        <v/>
      </c>
      <c r="V51" s="102">
        <f>IF(AND(Q51=M51,(U51="Reorder Required")=(N51="Reorder Required")),"OK","Mismatch")</f>
        <v/>
      </c>
      <c r="W51" s="99" t="n"/>
    </row>
    <row r="52">
      <c r="A52" s="99" t="inlineStr">
        <is>
          <t>INV00051</t>
        </is>
      </c>
      <c r="B52" s="99" t="inlineStr">
        <is>
          <t>OUT002</t>
        </is>
      </c>
      <c r="C52" s="99">
        <f>INDEX(Lookup!$B$2:$B$11,MATCH(B52,Lookup!$A$2:$A$11,0))</f>
        <v/>
      </c>
      <c r="D52" s="99" t="inlineStr">
        <is>
          <t>BP001</t>
        </is>
      </c>
      <c r="E52" s="99">
        <f>INDEX(Lookup!$E$2:$E$51,MATCH(D52,Lookup!$D$2:$D$51,0))</f>
        <v/>
      </c>
      <c r="F52" s="99">
        <f>INDEX(Lookup!$F$2:$F$51,MATCH(D52,Lookup!$D$2:$D$51,0))</f>
        <v/>
      </c>
      <c r="G52" s="100" t="n">
        <v>140</v>
      </c>
      <c r="H52" s="100" t="n">
        <v>90</v>
      </c>
      <c r="I52" s="100" t="n">
        <v>124</v>
      </c>
      <c r="J52" s="100" t="n">
        <v>2</v>
      </c>
      <c r="K52" s="100" t="n">
        <v>35</v>
      </c>
      <c r="L52" s="100" t="n">
        <v>3</v>
      </c>
      <c r="M52" s="100" t="n">
        <v>104</v>
      </c>
      <c r="N52" s="99" t="inlineStr">
        <is>
          <t>Healthy</t>
        </is>
      </c>
      <c r="O52" s="100">
        <f>G52+H52</f>
        <v/>
      </c>
      <c r="P52" s="100">
        <f>G52+H52-I52-J52</f>
        <v/>
      </c>
      <c r="Q52" s="100">
        <f>MAX(0,P52)</f>
        <v/>
      </c>
      <c r="R52" s="100">
        <f>MAX(0,-P52)</f>
        <v/>
      </c>
      <c r="S52" s="101">
        <f>IFERROR(J52/O52,0)</f>
        <v/>
      </c>
      <c r="T52" s="101">
        <f>IFERROR(I52/O52,0)</f>
        <v/>
      </c>
      <c r="U52" s="102">
        <f>IF(P52&lt;=K52,"Reorder Required","Stock Sufficient")</f>
        <v/>
      </c>
      <c r="V52" s="102">
        <f>IF(AND(Q52=M52,(U52="Reorder Required")=(N52="Reorder Required")),"OK","Mismatch")</f>
        <v/>
      </c>
      <c r="W52" s="99" t="n"/>
    </row>
    <row r="53">
      <c r="A53" s="99" t="inlineStr">
        <is>
          <t>INV00052</t>
        </is>
      </c>
      <c r="B53" s="99" t="inlineStr">
        <is>
          <t>OUT002</t>
        </is>
      </c>
      <c r="C53" s="99">
        <f>INDEX(Lookup!$B$2:$B$11,MATCH(B53,Lookup!$A$2:$A$11,0))</f>
        <v/>
      </c>
      <c r="D53" s="99" t="inlineStr">
        <is>
          <t>BP002</t>
        </is>
      </c>
      <c r="E53" s="99">
        <f>INDEX(Lookup!$E$2:$E$51,MATCH(D53,Lookup!$D$2:$D$51,0))</f>
        <v/>
      </c>
      <c r="F53" s="99">
        <f>INDEX(Lookup!$F$2:$F$51,MATCH(D53,Lookup!$D$2:$D$51,0))</f>
        <v/>
      </c>
      <c r="G53" s="100" t="n">
        <v>100</v>
      </c>
      <c r="H53" s="100" t="n">
        <v>49</v>
      </c>
      <c r="I53" s="100" t="n">
        <v>60</v>
      </c>
      <c r="J53" s="100" t="n">
        <v>3</v>
      </c>
      <c r="K53" s="100" t="n">
        <v>20</v>
      </c>
      <c r="L53" s="100" t="n">
        <v>4</v>
      </c>
      <c r="M53" s="100" t="n">
        <v>86</v>
      </c>
      <c r="N53" s="99" t="inlineStr">
        <is>
          <t>Healthy</t>
        </is>
      </c>
      <c r="O53" s="100">
        <f>G53+H53</f>
        <v/>
      </c>
      <c r="P53" s="100">
        <f>G53+H53-I53-J53</f>
        <v/>
      </c>
      <c r="Q53" s="100">
        <f>MAX(0,P53)</f>
        <v/>
      </c>
      <c r="R53" s="100">
        <f>MAX(0,-P53)</f>
        <v/>
      </c>
      <c r="S53" s="101">
        <f>IFERROR(J53/O53,0)</f>
        <v/>
      </c>
      <c r="T53" s="101">
        <f>IFERROR(I53/O53,0)</f>
        <v/>
      </c>
      <c r="U53" s="102">
        <f>IF(P53&lt;=K53,"Reorder Required","Stock Sufficient")</f>
        <v/>
      </c>
      <c r="V53" s="102">
        <f>IF(AND(Q53=M53,(U53="Reorder Required")=(N53="Reorder Required")),"OK","Mismatch")</f>
        <v/>
      </c>
      <c r="W53" s="99" t="n"/>
    </row>
    <row r="54">
      <c r="A54" s="99" t="inlineStr">
        <is>
          <t>INV00053</t>
        </is>
      </c>
      <c r="B54" s="99" t="inlineStr">
        <is>
          <t>OUT002</t>
        </is>
      </c>
      <c r="C54" s="99">
        <f>INDEX(Lookup!$B$2:$B$11,MATCH(B54,Lookup!$A$2:$A$11,0))</f>
        <v/>
      </c>
      <c r="D54" s="99" t="inlineStr">
        <is>
          <t>BP003</t>
        </is>
      </c>
      <c r="E54" s="99">
        <f>INDEX(Lookup!$E$2:$E$51,MATCH(D54,Lookup!$D$2:$D$51,0))</f>
        <v/>
      </c>
      <c r="F54" s="99">
        <f>INDEX(Lookup!$F$2:$F$51,MATCH(D54,Lookup!$D$2:$D$51,0))</f>
        <v/>
      </c>
      <c r="G54" s="100" t="n">
        <v>145</v>
      </c>
      <c r="H54" s="100" t="n">
        <v>33</v>
      </c>
      <c r="I54" s="100" t="n">
        <v>64</v>
      </c>
      <c r="J54" s="100" t="n">
        <v>0</v>
      </c>
      <c r="K54" s="100" t="n">
        <v>37</v>
      </c>
      <c r="L54" s="100" t="n">
        <v>5</v>
      </c>
      <c r="M54" s="100" t="n">
        <v>114</v>
      </c>
      <c r="N54" s="99" t="inlineStr">
        <is>
          <t>Healthy</t>
        </is>
      </c>
      <c r="O54" s="100">
        <f>G54+H54</f>
        <v/>
      </c>
      <c r="P54" s="100">
        <f>G54+H54-I54-J54</f>
        <v/>
      </c>
      <c r="Q54" s="100">
        <f>MAX(0,P54)</f>
        <v/>
      </c>
      <c r="R54" s="100">
        <f>MAX(0,-P54)</f>
        <v/>
      </c>
      <c r="S54" s="101">
        <f>IFERROR(J54/O54,0)</f>
        <v/>
      </c>
      <c r="T54" s="101">
        <f>IFERROR(I54/O54,0)</f>
        <v/>
      </c>
      <c r="U54" s="102">
        <f>IF(P54&lt;=K54,"Reorder Required","Stock Sufficient")</f>
        <v/>
      </c>
      <c r="V54" s="102">
        <f>IF(AND(Q54=M54,(U54="Reorder Required")=(N54="Reorder Required")),"OK","Mismatch")</f>
        <v/>
      </c>
      <c r="W54" s="99" t="n"/>
    </row>
    <row r="55">
      <c r="A55" s="99" t="inlineStr">
        <is>
          <t>INV00054</t>
        </is>
      </c>
      <c r="B55" s="99" t="inlineStr">
        <is>
          <t>OUT002</t>
        </is>
      </c>
      <c r="C55" s="99">
        <f>INDEX(Lookup!$B$2:$B$11,MATCH(B55,Lookup!$A$2:$A$11,0))</f>
        <v/>
      </c>
      <c r="D55" s="99" t="inlineStr">
        <is>
          <t>BP004</t>
        </is>
      </c>
      <c r="E55" s="99">
        <f>INDEX(Lookup!$E$2:$E$51,MATCH(D55,Lookup!$D$2:$D$51,0))</f>
        <v/>
      </c>
      <c r="F55" s="99">
        <f>INDEX(Lookup!$F$2:$F$51,MATCH(D55,Lookup!$D$2:$D$51,0))</f>
        <v/>
      </c>
      <c r="G55" s="100" t="n">
        <v>132</v>
      </c>
      <c r="H55" s="100" t="n">
        <v>67</v>
      </c>
      <c r="I55" s="100" t="n">
        <v>110</v>
      </c>
      <c r="J55" s="100" t="n">
        <v>2</v>
      </c>
      <c r="K55" s="100" t="n">
        <v>31</v>
      </c>
      <c r="L55" s="100" t="n">
        <v>1</v>
      </c>
      <c r="M55" s="100" t="n">
        <v>87</v>
      </c>
      <c r="N55" s="99" t="inlineStr">
        <is>
          <t>Healthy</t>
        </is>
      </c>
      <c r="O55" s="100">
        <f>G55+H55</f>
        <v/>
      </c>
      <c r="P55" s="100">
        <f>G55+H55-I55-J55</f>
        <v/>
      </c>
      <c r="Q55" s="100">
        <f>MAX(0,P55)</f>
        <v/>
      </c>
      <c r="R55" s="100">
        <f>MAX(0,-P55)</f>
        <v/>
      </c>
      <c r="S55" s="101">
        <f>IFERROR(J55/O55,0)</f>
        <v/>
      </c>
      <c r="T55" s="101">
        <f>IFERROR(I55/O55,0)</f>
        <v/>
      </c>
      <c r="U55" s="102">
        <f>IF(P55&lt;=K55,"Reorder Required","Stock Sufficient")</f>
        <v/>
      </c>
      <c r="V55" s="102">
        <f>IF(AND(Q55=M55,(U55="Reorder Required")=(N55="Reorder Required")),"OK","Mismatch")</f>
        <v/>
      </c>
      <c r="W55" s="99" t="n"/>
    </row>
    <row r="56">
      <c r="A56" s="99" t="inlineStr">
        <is>
          <t>INV00055</t>
        </is>
      </c>
      <c r="B56" s="99" t="inlineStr">
        <is>
          <t>OUT002</t>
        </is>
      </c>
      <c r="C56" s="99">
        <f>INDEX(Lookup!$B$2:$B$11,MATCH(B56,Lookup!$A$2:$A$11,0))</f>
        <v/>
      </c>
      <c r="D56" s="99" t="inlineStr">
        <is>
          <t>BP005</t>
        </is>
      </c>
      <c r="E56" s="99">
        <f>INDEX(Lookup!$E$2:$E$51,MATCH(D56,Lookup!$D$2:$D$51,0))</f>
        <v/>
      </c>
      <c r="F56" s="99">
        <f>INDEX(Lookup!$F$2:$F$51,MATCH(D56,Lookup!$D$2:$D$51,0))</f>
        <v/>
      </c>
      <c r="G56" s="100" t="n">
        <v>102</v>
      </c>
      <c r="H56" s="100" t="n">
        <v>93</v>
      </c>
      <c r="I56" s="100" t="n">
        <v>86</v>
      </c>
      <c r="J56" s="100" t="n">
        <v>1</v>
      </c>
      <c r="K56" s="100" t="n">
        <v>38</v>
      </c>
      <c r="L56" s="100" t="n">
        <v>3</v>
      </c>
      <c r="M56" s="100" t="n">
        <v>108</v>
      </c>
      <c r="N56" s="99" t="inlineStr">
        <is>
          <t>Healthy</t>
        </is>
      </c>
      <c r="O56" s="100">
        <f>G56+H56</f>
        <v/>
      </c>
      <c r="P56" s="100">
        <f>G56+H56-I56-J56</f>
        <v/>
      </c>
      <c r="Q56" s="100">
        <f>MAX(0,P56)</f>
        <v/>
      </c>
      <c r="R56" s="100">
        <f>MAX(0,-P56)</f>
        <v/>
      </c>
      <c r="S56" s="101">
        <f>IFERROR(J56/O56,0)</f>
        <v/>
      </c>
      <c r="T56" s="101">
        <f>IFERROR(I56/O56,0)</f>
        <v/>
      </c>
      <c r="U56" s="102">
        <f>IF(P56&lt;=K56,"Reorder Required","Stock Sufficient")</f>
        <v/>
      </c>
      <c r="V56" s="102">
        <f>IF(AND(Q56=M56,(U56="Reorder Required")=(N56="Reorder Required")),"OK","Mismatch")</f>
        <v/>
      </c>
      <c r="W56" s="99" t="n"/>
    </row>
    <row r="57">
      <c r="A57" s="99" t="inlineStr">
        <is>
          <t>INV00056</t>
        </is>
      </c>
      <c r="B57" s="99" t="inlineStr">
        <is>
          <t>OUT002</t>
        </is>
      </c>
      <c r="C57" s="99">
        <f>INDEX(Lookup!$B$2:$B$11,MATCH(B57,Lookup!$A$2:$A$11,0))</f>
        <v/>
      </c>
      <c r="D57" s="99" t="inlineStr">
        <is>
          <t>BP006</t>
        </is>
      </c>
      <c r="E57" s="99">
        <f>INDEX(Lookup!$E$2:$E$51,MATCH(D57,Lookup!$D$2:$D$51,0))</f>
        <v/>
      </c>
      <c r="F57" s="99">
        <f>INDEX(Lookup!$F$2:$F$51,MATCH(D57,Lookup!$D$2:$D$51,0))</f>
        <v/>
      </c>
      <c r="G57" s="100" t="n">
        <v>70</v>
      </c>
      <c r="H57" s="100" t="n">
        <v>56</v>
      </c>
      <c r="I57" s="100" t="n">
        <v>72</v>
      </c>
      <c r="J57" s="100" t="n">
        <v>0</v>
      </c>
      <c r="K57" s="100" t="n">
        <v>39</v>
      </c>
      <c r="L57" s="100" t="n">
        <v>2</v>
      </c>
      <c r="M57" s="100" t="n">
        <v>54</v>
      </c>
      <c r="N57" s="99" t="inlineStr">
        <is>
          <t>Healthy</t>
        </is>
      </c>
      <c r="O57" s="100">
        <f>G57+H57</f>
        <v/>
      </c>
      <c r="P57" s="100">
        <f>G57+H57-I57-J57</f>
        <v/>
      </c>
      <c r="Q57" s="100">
        <f>MAX(0,P57)</f>
        <v/>
      </c>
      <c r="R57" s="100">
        <f>MAX(0,-P57)</f>
        <v/>
      </c>
      <c r="S57" s="101">
        <f>IFERROR(J57/O57,0)</f>
        <v/>
      </c>
      <c r="T57" s="101">
        <f>IFERROR(I57/O57,0)</f>
        <v/>
      </c>
      <c r="U57" s="102">
        <f>IF(P57&lt;=K57,"Reorder Required","Stock Sufficient")</f>
        <v/>
      </c>
      <c r="V57" s="102">
        <f>IF(AND(Q57=M57,(U57="Reorder Required")=(N57="Reorder Required")),"OK","Mismatch")</f>
        <v/>
      </c>
      <c r="W57" s="99" t="n"/>
    </row>
    <row r="58">
      <c r="A58" s="99" t="inlineStr">
        <is>
          <t>INV00057</t>
        </is>
      </c>
      <c r="B58" s="99" t="inlineStr">
        <is>
          <t>OUT002</t>
        </is>
      </c>
      <c r="C58" s="99">
        <f>INDEX(Lookup!$B$2:$B$11,MATCH(B58,Lookup!$A$2:$A$11,0))</f>
        <v/>
      </c>
      <c r="D58" s="99" t="inlineStr">
        <is>
          <t>BP007</t>
        </is>
      </c>
      <c r="E58" s="99">
        <f>INDEX(Lookup!$E$2:$E$51,MATCH(D58,Lookup!$D$2:$D$51,0))</f>
        <v/>
      </c>
      <c r="F58" s="99">
        <f>INDEX(Lookup!$F$2:$F$51,MATCH(D58,Lookup!$D$2:$D$51,0))</f>
        <v/>
      </c>
      <c r="G58" s="100" t="n">
        <v>103</v>
      </c>
      <c r="H58" s="100" t="n">
        <v>68</v>
      </c>
      <c r="I58" s="100" t="n">
        <v>70</v>
      </c>
      <c r="J58" s="100" t="n">
        <v>0</v>
      </c>
      <c r="K58" s="100" t="n">
        <v>18</v>
      </c>
      <c r="L58" s="100" t="n">
        <v>1</v>
      </c>
      <c r="M58" s="100" t="n">
        <v>101</v>
      </c>
      <c r="N58" s="99" t="inlineStr">
        <is>
          <t>Healthy</t>
        </is>
      </c>
      <c r="O58" s="100">
        <f>G58+H58</f>
        <v/>
      </c>
      <c r="P58" s="100">
        <f>G58+H58-I58-J58</f>
        <v/>
      </c>
      <c r="Q58" s="100">
        <f>MAX(0,P58)</f>
        <v/>
      </c>
      <c r="R58" s="100">
        <f>MAX(0,-P58)</f>
        <v/>
      </c>
      <c r="S58" s="101">
        <f>IFERROR(J58/O58,0)</f>
        <v/>
      </c>
      <c r="T58" s="101">
        <f>IFERROR(I58/O58,0)</f>
        <v/>
      </c>
      <c r="U58" s="102">
        <f>IF(P58&lt;=K58,"Reorder Required","Stock Sufficient")</f>
        <v/>
      </c>
      <c r="V58" s="102">
        <f>IF(AND(Q58=M58,(U58="Reorder Required")=(N58="Reorder Required")),"OK","Mismatch")</f>
        <v/>
      </c>
      <c r="W58" s="99" t="n"/>
    </row>
    <row r="59">
      <c r="A59" s="99" t="inlineStr">
        <is>
          <t>INV00058</t>
        </is>
      </c>
      <c r="B59" s="99" t="inlineStr">
        <is>
          <t>OUT002</t>
        </is>
      </c>
      <c r="C59" s="99">
        <f>INDEX(Lookup!$B$2:$B$11,MATCH(B59,Lookup!$A$2:$A$11,0))</f>
        <v/>
      </c>
      <c r="D59" s="99" t="inlineStr">
        <is>
          <t>BP008</t>
        </is>
      </c>
      <c r="E59" s="99">
        <f>INDEX(Lookup!$E$2:$E$51,MATCH(D59,Lookup!$D$2:$D$51,0))</f>
        <v/>
      </c>
      <c r="F59" s="99">
        <f>INDEX(Lookup!$F$2:$F$51,MATCH(D59,Lookup!$D$2:$D$51,0))</f>
        <v/>
      </c>
      <c r="G59" s="100" t="n">
        <v>128</v>
      </c>
      <c r="H59" s="100" t="n">
        <v>61</v>
      </c>
      <c r="I59" s="100" t="n">
        <v>90</v>
      </c>
      <c r="J59" s="100" t="n">
        <v>0</v>
      </c>
      <c r="K59" s="100" t="n">
        <v>18</v>
      </c>
      <c r="L59" s="100" t="n">
        <v>4</v>
      </c>
      <c r="M59" s="100" t="n">
        <v>99</v>
      </c>
      <c r="N59" s="99" t="inlineStr">
        <is>
          <t>Healthy</t>
        </is>
      </c>
      <c r="O59" s="100">
        <f>G59+H59</f>
        <v/>
      </c>
      <c r="P59" s="100">
        <f>G59+H59-I59-J59</f>
        <v/>
      </c>
      <c r="Q59" s="100">
        <f>MAX(0,P59)</f>
        <v/>
      </c>
      <c r="R59" s="100">
        <f>MAX(0,-P59)</f>
        <v/>
      </c>
      <c r="S59" s="101">
        <f>IFERROR(J59/O59,0)</f>
        <v/>
      </c>
      <c r="T59" s="101">
        <f>IFERROR(I59/O59,0)</f>
        <v/>
      </c>
      <c r="U59" s="102">
        <f>IF(P59&lt;=K59,"Reorder Required","Stock Sufficient")</f>
        <v/>
      </c>
      <c r="V59" s="102">
        <f>IF(AND(Q59=M59,(U59="Reorder Required")=(N59="Reorder Required")),"OK","Mismatch")</f>
        <v/>
      </c>
      <c r="W59" s="99" t="n"/>
    </row>
    <row r="60">
      <c r="A60" s="99" t="inlineStr">
        <is>
          <t>INV00059</t>
        </is>
      </c>
      <c r="B60" s="99" t="inlineStr">
        <is>
          <t>OUT002</t>
        </is>
      </c>
      <c r="C60" s="99">
        <f>INDEX(Lookup!$B$2:$B$11,MATCH(B60,Lookup!$A$2:$A$11,0))</f>
        <v/>
      </c>
      <c r="D60" s="99" t="inlineStr">
        <is>
          <t>BP009</t>
        </is>
      </c>
      <c r="E60" s="99">
        <f>INDEX(Lookup!$E$2:$E$51,MATCH(D60,Lookup!$D$2:$D$51,0))</f>
        <v/>
      </c>
      <c r="F60" s="99">
        <f>INDEX(Lookup!$F$2:$F$51,MATCH(D60,Lookup!$D$2:$D$51,0))</f>
        <v/>
      </c>
      <c r="G60" s="100" t="n">
        <v>89</v>
      </c>
      <c r="H60" s="100" t="n">
        <v>88</v>
      </c>
      <c r="I60" s="100" t="n">
        <v>125</v>
      </c>
      <c r="J60" s="100" t="n">
        <v>0</v>
      </c>
      <c r="K60" s="100" t="n">
        <v>27</v>
      </c>
      <c r="L60" s="100" t="n">
        <v>3</v>
      </c>
      <c r="M60" s="100" t="n">
        <v>52</v>
      </c>
      <c r="N60" s="99" t="inlineStr">
        <is>
          <t>Healthy</t>
        </is>
      </c>
      <c r="O60" s="100">
        <f>G60+H60</f>
        <v/>
      </c>
      <c r="P60" s="100">
        <f>G60+H60-I60-J60</f>
        <v/>
      </c>
      <c r="Q60" s="100">
        <f>MAX(0,P60)</f>
        <v/>
      </c>
      <c r="R60" s="100">
        <f>MAX(0,-P60)</f>
        <v/>
      </c>
      <c r="S60" s="101">
        <f>IFERROR(J60/O60,0)</f>
        <v/>
      </c>
      <c r="T60" s="101">
        <f>IFERROR(I60/O60,0)</f>
        <v/>
      </c>
      <c r="U60" s="102">
        <f>IF(P60&lt;=K60,"Reorder Required","Stock Sufficient")</f>
        <v/>
      </c>
      <c r="V60" s="102">
        <f>IF(AND(Q60=M60,(U60="Reorder Required")=(N60="Reorder Required")),"OK","Mismatch")</f>
        <v/>
      </c>
      <c r="W60" s="99" t="n"/>
    </row>
    <row r="61">
      <c r="A61" s="99" t="inlineStr">
        <is>
          <t>INV00060</t>
        </is>
      </c>
      <c r="B61" s="99" t="inlineStr">
        <is>
          <t>OUT002</t>
        </is>
      </c>
      <c r="C61" s="99">
        <f>INDEX(Lookup!$B$2:$B$11,MATCH(B61,Lookup!$A$2:$A$11,0))</f>
        <v/>
      </c>
      <c r="D61" s="99" t="inlineStr">
        <is>
          <t>BP010</t>
        </is>
      </c>
      <c r="E61" s="99">
        <f>INDEX(Lookup!$E$2:$E$51,MATCH(D61,Lookup!$D$2:$D$51,0))</f>
        <v/>
      </c>
      <c r="F61" s="99">
        <f>INDEX(Lookup!$F$2:$F$51,MATCH(D61,Lookup!$D$2:$D$51,0))</f>
        <v/>
      </c>
      <c r="G61" s="100" t="n">
        <v>63</v>
      </c>
      <c r="H61" s="100" t="n">
        <v>90</v>
      </c>
      <c r="I61" s="100" t="n">
        <v>102</v>
      </c>
      <c r="J61" s="100" t="n">
        <v>3</v>
      </c>
      <c r="K61" s="100" t="n">
        <v>19</v>
      </c>
      <c r="L61" s="100" t="n">
        <v>5</v>
      </c>
      <c r="M61" s="100" t="n">
        <v>48</v>
      </c>
      <c r="N61" s="99" t="inlineStr">
        <is>
          <t>Healthy</t>
        </is>
      </c>
      <c r="O61" s="100">
        <f>G61+H61</f>
        <v/>
      </c>
      <c r="P61" s="100">
        <f>G61+H61-I61-J61</f>
        <v/>
      </c>
      <c r="Q61" s="100">
        <f>MAX(0,P61)</f>
        <v/>
      </c>
      <c r="R61" s="100">
        <f>MAX(0,-P61)</f>
        <v/>
      </c>
      <c r="S61" s="101">
        <f>IFERROR(J61/O61,0)</f>
        <v/>
      </c>
      <c r="T61" s="101">
        <f>IFERROR(I61/O61,0)</f>
        <v/>
      </c>
      <c r="U61" s="102">
        <f>IF(P61&lt;=K61,"Reorder Required","Stock Sufficient")</f>
        <v/>
      </c>
      <c r="V61" s="102">
        <f>IF(AND(Q61=M61,(U61="Reorder Required")=(N61="Reorder Required")),"OK","Mismatch")</f>
        <v/>
      </c>
      <c r="W61" s="99" t="n"/>
    </row>
    <row r="62">
      <c r="A62" s="99" t="inlineStr">
        <is>
          <t>INV00061</t>
        </is>
      </c>
      <c r="B62" s="99" t="inlineStr">
        <is>
          <t>OUT002</t>
        </is>
      </c>
      <c r="C62" s="99">
        <f>INDEX(Lookup!$B$2:$B$11,MATCH(B62,Lookup!$A$2:$A$11,0))</f>
        <v/>
      </c>
      <c r="D62" s="99" t="inlineStr">
        <is>
          <t>BP011</t>
        </is>
      </c>
      <c r="E62" s="99">
        <f>INDEX(Lookup!$E$2:$E$51,MATCH(D62,Lookup!$D$2:$D$51,0))</f>
        <v/>
      </c>
      <c r="F62" s="99">
        <f>INDEX(Lookup!$F$2:$F$51,MATCH(D62,Lookup!$D$2:$D$51,0))</f>
        <v/>
      </c>
      <c r="G62" s="100" t="n">
        <v>86</v>
      </c>
      <c r="H62" s="100" t="n">
        <v>47</v>
      </c>
      <c r="I62" s="100" t="n">
        <v>127</v>
      </c>
      <c r="J62" s="100" t="n">
        <v>0</v>
      </c>
      <c r="K62" s="100" t="n">
        <v>24</v>
      </c>
      <c r="L62" s="100" t="n">
        <v>1</v>
      </c>
      <c r="M62" s="100" t="n">
        <v>6</v>
      </c>
      <c r="N62" s="99" t="inlineStr">
        <is>
          <t>Reorder Required</t>
        </is>
      </c>
      <c r="O62" s="100">
        <f>G62+H62</f>
        <v/>
      </c>
      <c r="P62" s="100">
        <f>G62+H62-I62-J62</f>
        <v/>
      </c>
      <c r="Q62" s="100">
        <f>MAX(0,P62)</f>
        <v/>
      </c>
      <c r="R62" s="100">
        <f>MAX(0,-P62)</f>
        <v/>
      </c>
      <c r="S62" s="101">
        <f>IFERROR(J62/O62,0)</f>
        <v/>
      </c>
      <c r="T62" s="101">
        <f>IFERROR(I62/O62,0)</f>
        <v/>
      </c>
      <c r="U62" s="102">
        <f>IF(P62&lt;=K62,"Reorder Required","Stock Sufficient")</f>
        <v/>
      </c>
      <c r="V62" s="102">
        <f>IF(AND(Q62=M62,(U62="Reorder Required")=(N62="Reorder Required")),"OK","Mismatch")</f>
        <v/>
      </c>
      <c r="W62" s="99" t="inlineStr">
        <is>
          <t>Restock immediately</t>
        </is>
      </c>
    </row>
    <row r="63">
      <c r="A63" s="99" t="inlineStr">
        <is>
          <t>INV00062</t>
        </is>
      </c>
      <c r="B63" s="99" t="inlineStr">
        <is>
          <t>OUT002</t>
        </is>
      </c>
      <c r="C63" s="99">
        <f>INDEX(Lookup!$B$2:$B$11,MATCH(B63,Lookup!$A$2:$A$11,0))</f>
        <v/>
      </c>
      <c r="D63" s="99" t="inlineStr">
        <is>
          <t>BP012</t>
        </is>
      </c>
      <c r="E63" s="99">
        <f>INDEX(Lookup!$E$2:$E$51,MATCH(D63,Lookup!$D$2:$D$51,0))</f>
        <v/>
      </c>
      <c r="F63" s="99">
        <f>INDEX(Lookup!$F$2:$F$51,MATCH(D63,Lookup!$D$2:$D$51,0))</f>
        <v/>
      </c>
      <c r="G63" s="100" t="n">
        <v>123</v>
      </c>
      <c r="H63" s="100" t="n">
        <v>55</v>
      </c>
      <c r="I63" s="100" t="n">
        <v>85</v>
      </c>
      <c r="J63" s="100" t="n">
        <v>3</v>
      </c>
      <c r="K63" s="100" t="n">
        <v>22</v>
      </c>
      <c r="L63" s="100" t="n">
        <v>4</v>
      </c>
      <c r="M63" s="100" t="n">
        <v>90</v>
      </c>
      <c r="N63" s="99" t="inlineStr">
        <is>
          <t>Healthy</t>
        </is>
      </c>
      <c r="O63" s="100">
        <f>G63+H63</f>
        <v/>
      </c>
      <c r="P63" s="100">
        <f>G63+H63-I63-J63</f>
        <v/>
      </c>
      <c r="Q63" s="100">
        <f>MAX(0,P63)</f>
        <v/>
      </c>
      <c r="R63" s="100">
        <f>MAX(0,-P63)</f>
        <v/>
      </c>
      <c r="S63" s="101">
        <f>IFERROR(J63/O63,0)</f>
        <v/>
      </c>
      <c r="T63" s="101">
        <f>IFERROR(I63/O63,0)</f>
        <v/>
      </c>
      <c r="U63" s="102">
        <f>IF(P63&lt;=K63,"Reorder Required","Stock Sufficient")</f>
        <v/>
      </c>
      <c r="V63" s="102">
        <f>IF(AND(Q63=M63,(U63="Reorder Required")=(N63="Reorder Required")),"OK","Mismatch")</f>
        <v/>
      </c>
      <c r="W63" s="99" t="n"/>
    </row>
    <row r="64">
      <c r="A64" s="99" t="inlineStr">
        <is>
          <t>INV00063</t>
        </is>
      </c>
      <c r="B64" s="99" t="inlineStr">
        <is>
          <t>OUT002</t>
        </is>
      </c>
      <c r="C64" s="99">
        <f>INDEX(Lookup!$B$2:$B$11,MATCH(B64,Lookup!$A$2:$A$11,0))</f>
        <v/>
      </c>
      <c r="D64" s="99" t="inlineStr">
        <is>
          <t>BP013</t>
        </is>
      </c>
      <c r="E64" s="99">
        <f>INDEX(Lookup!$E$2:$E$51,MATCH(D64,Lookup!$D$2:$D$51,0))</f>
        <v/>
      </c>
      <c r="F64" s="99">
        <f>INDEX(Lookup!$F$2:$F$51,MATCH(D64,Lookup!$D$2:$D$51,0))</f>
        <v/>
      </c>
      <c r="G64" s="100" t="n">
        <v>51</v>
      </c>
      <c r="H64" s="100" t="n">
        <v>59</v>
      </c>
      <c r="I64" s="100" t="n">
        <v>76</v>
      </c>
      <c r="J64" s="100" t="n">
        <v>1</v>
      </c>
      <c r="K64" s="100" t="n">
        <v>15</v>
      </c>
      <c r="L64" s="100" t="n">
        <v>5</v>
      </c>
      <c r="M64" s="100" t="n">
        <v>33</v>
      </c>
      <c r="N64" s="99" t="inlineStr">
        <is>
          <t>Healthy</t>
        </is>
      </c>
      <c r="O64" s="100">
        <f>G64+H64</f>
        <v/>
      </c>
      <c r="P64" s="100">
        <f>G64+H64-I64-J64</f>
        <v/>
      </c>
      <c r="Q64" s="100">
        <f>MAX(0,P64)</f>
        <v/>
      </c>
      <c r="R64" s="100">
        <f>MAX(0,-P64)</f>
        <v/>
      </c>
      <c r="S64" s="101">
        <f>IFERROR(J64/O64,0)</f>
        <v/>
      </c>
      <c r="T64" s="101">
        <f>IFERROR(I64/O64,0)</f>
        <v/>
      </c>
      <c r="U64" s="102">
        <f>IF(P64&lt;=K64,"Reorder Required","Stock Sufficient")</f>
        <v/>
      </c>
      <c r="V64" s="102">
        <f>IF(AND(Q64=M64,(U64="Reorder Required")=(N64="Reorder Required")),"OK","Mismatch")</f>
        <v/>
      </c>
      <c r="W64" s="99" t="n"/>
    </row>
    <row r="65">
      <c r="A65" s="99" t="inlineStr">
        <is>
          <t>INV00064</t>
        </is>
      </c>
      <c r="B65" s="99" t="inlineStr">
        <is>
          <t>OUT002</t>
        </is>
      </c>
      <c r="C65" s="99">
        <f>INDEX(Lookup!$B$2:$B$11,MATCH(B65,Lookup!$A$2:$A$11,0))</f>
        <v/>
      </c>
      <c r="D65" s="99" t="inlineStr">
        <is>
          <t>BP014</t>
        </is>
      </c>
      <c r="E65" s="99">
        <f>INDEX(Lookup!$E$2:$E$51,MATCH(D65,Lookup!$D$2:$D$51,0))</f>
        <v/>
      </c>
      <c r="F65" s="99">
        <f>INDEX(Lookup!$F$2:$F$51,MATCH(D65,Lookup!$D$2:$D$51,0))</f>
        <v/>
      </c>
      <c r="G65" s="100" t="n">
        <v>44</v>
      </c>
      <c r="H65" s="100" t="n">
        <v>89</v>
      </c>
      <c r="I65" s="100" t="n">
        <v>116</v>
      </c>
      <c r="J65" s="100" t="n">
        <v>3</v>
      </c>
      <c r="K65" s="100" t="n">
        <v>17</v>
      </c>
      <c r="L65" s="100" t="n">
        <v>3</v>
      </c>
      <c r="M65" s="100" t="n">
        <v>14</v>
      </c>
      <c r="N65" s="99" t="inlineStr">
        <is>
          <t>Reorder Required</t>
        </is>
      </c>
      <c r="O65" s="100">
        <f>G65+H65</f>
        <v/>
      </c>
      <c r="P65" s="100">
        <f>G65+H65-I65-J65</f>
        <v/>
      </c>
      <c r="Q65" s="100">
        <f>MAX(0,P65)</f>
        <v/>
      </c>
      <c r="R65" s="100">
        <f>MAX(0,-P65)</f>
        <v/>
      </c>
      <c r="S65" s="101">
        <f>IFERROR(J65/O65,0)</f>
        <v/>
      </c>
      <c r="T65" s="101">
        <f>IFERROR(I65/O65,0)</f>
        <v/>
      </c>
      <c r="U65" s="102">
        <f>IF(P65&lt;=K65,"Reorder Required","Stock Sufficient")</f>
        <v/>
      </c>
      <c r="V65" s="102">
        <f>IF(AND(Q65=M65,(U65="Reorder Required")=(N65="Reorder Required")),"OK","Mismatch")</f>
        <v/>
      </c>
      <c r="W65" s="99" t="inlineStr">
        <is>
          <t>Restock immediately</t>
        </is>
      </c>
    </row>
    <row r="66">
      <c r="A66" s="99" t="inlineStr">
        <is>
          <t>INV00065</t>
        </is>
      </c>
      <c r="B66" s="99" t="inlineStr">
        <is>
          <t>OUT002</t>
        </is>
      </c>
      <c r="C66" s="99">
        <f>INDEX(Lookup!$B$2:$B$11,MATCH(B66,Lookup!$A$2:$A$11,0))</f>
        <v/>
      </c>
      <c r="D66" s="99" t="inlineStr">
        <is>
          <t>BP015</t>
        </is>
      </c>
      <c r="E66" s="99">
        <f>INDEX(Lookup!$E$2:$E$51,MATCH(D66,Lookup!$D$2:$D$51,0))</f>
        <v/>
      </c>
      <c r="F66" s="99">
        <f>INDEX(Lookup!$F$2:$F$51,MATCH(D66,Lookup!$D$2:$D$51,0))</f>
        <v/>
      </c>
      <c r="G66" s="100" t="n">
        <v>87</v>
      </c>
      <c r="H66" s="100" t="n">
        <v>98</v>
      </c>
      <c r="I66" s="100" t="n">
        <v>46</v>
      </c>
      <c r="J66" s="100" t="n">
        <v>0</v>
      </c>
      <c r="K66" s="100" t="n">
        <v>39</v>
      </c>
      <c r="L66" s="100" t="n">
        <v>1</v>
      </c>
      <c r="M66" s="100" t="n">
        <v>139</v>
      </c>
      <c r="N66" s="99" t="inlineStr">
        <is>
          <t>Healthy</t>
        </is>
      </c>
      <c r="O66" s="100">
        <f>G66+H66</f>
        <v/>
      </c>
      <c r="P66" s="100">
        <f>G66+H66-I66-J66</f>
        <v/>
      </c>
      <c r="Q66" s="100">
        <f>MAX(0,P66)</f>
        <v/>
      </c>
      <c r="R66" s="100">
        <f>MAX(0,-P66)</f>
        <v/>
      </c>
      <c r="S66" s="101">
        <f>IFERROR(J66/O66,0)</f>
        <v/>
      </c>
      <c r="T66" s="101">
        <f>IFERROR(I66/O66,0)</f>
        <v/>
      </c>
      <c r="U66" s="102">
        <f>IF(P66&lt;=K66,"Reorder Required","Stock Sufficient")</f>
        <v/>
      </c>
      <c r="V66" s="102">
        <f>IF(AND(Q66=M66,(U66="Reorder Required")=(N66="Reorder Required")),"OK","Mismatch")</f>
        <v/>
      </c>
      <c r="W66" s="99" t="n"/>
    </row>
    <row r="67">
      <c r="A67" s="99" t="inlineStr">
        <is>
          <t>INV00066</t>
        </is>
      </c>
      <c r="B67" s="99" t="inlineStr">
        <is>
          <t>OUT002</t>
        </is>
      </c>
      <c r="C67" s="99">
        <f>INDEX(Lookup!$B$2:$B$11,MATCH(B67,Lookup!$A$2:$A$11,0))</f>
        <v/>
      </c>
      <c r="D67" s="99" t="inlineStr">
        <is>
          <t>BP016</t>
        </is>
      </c>
      <c r="E67" s="99">
        <f>INDEX(Lookup!$E$2:$E$51,MATCH(D67,Lookup!$D$2:$D$51,0))</f>
        <v/>
      </c>
      <c r="F67" s="99">
        <f>INDEX(Lookup!$F$2:$F$51,MATCH(D67,Lookup!$D$2:$D$51,0))</f>
        <v/>
      </c>
      <c r="G67" s="100" t="n">
        <v>88</v>
      </c>
      <c r="H67" s="100" t="n">
        <v>29</v>
      </c>
      <c r="I67" s="100" t="n">
        <v>122</v>
      </c>
      <c r="J67" s="100" t="n">
        <v>3</v>
      </c>
      <c r="K67" s="100" t="n">
        <v>30</v>
      </c>
      <c r="L67" s="100" t="n">
        <v>3</v>
      </c>
      <c r="M67" s="100" t="n">
        <v>0</v>
      </c>
      <c r="N67" s="99" t="inlineStr">
        <is>
          <t>Reorder Required</t>
        </is>
      </c>
      <c r="O67" s="100">
        <f>G67+H67</f>
        <v/>
      </c>
      <c r="P67" s="100">
        <f>G67+H67-I67-J67</f>
        <v/>
      </c>
      <c r="Q67" s="100">
        <f>MAX(0,P67)</f>
        <v/>
      </c>
      <c r="R67" s="100">
        <f>MAX(0,-P67)</f>
        <v/>
      </c>
      <c r="S67" s="101">
        <f>IFERROR(J67/O67,0)</f>
        <v/>
      </c>
      <c r="T67" s="101">
        <f>IFERROR(I67/O67,0)</f>
        <v/>
      </c>
      <c r="U67" s="102">
        <f>IF(P67&lt;=K67,"Reorder Required","Stock Sufficient")</f>
        <v/>
      </c>
      <c r="V67" s="102">
        <f>IF(AND(Q67=M67,(U67="Reorder Required")=(N67="Reorder Required")),"OK","Mismatch")</f>
        <v/>
      </c>
      <c r="W67" s="99" t="inlineStr">
        <is>
          <t>Restock immediately</t>
        </is>
      </c>
    </row>
    <row r="68">
      <c r="A68" s="99" t="inlineStr">
        <is>
          <t>INV00067</t>
        </is>
      </c>
      <c r="B68" s="99" t="inlineStr">
        <is>
          <t>OUT002</t>
        </is>
      </c>
      <c r="C68" s="99">
        <f>INDEX(Lookup!$B$2:$B$11,MATCH(B68,Lookup!$A$2:$A$11,0))</f>
        <v/>
      </c>
      <c r="D68" s="99" t="inlineStr">
        <is>
          <t>BP017</t>
        </is>
      </c>
      <c r="E68" s="99">
        <f>INDEX(Lookup!$E$2:$E$51,MATCH(D68,Lookup!$D$2:$D$51,0))</f>
        <v/>
      </c>
      <c r="F68" s="99">
        <f>INDEX(Lookup!$F$2:$F$51,MATCH(D68,Lookup!$D$2:$D$51,0))</f>
        <v/>
      </c>
      <c r="G68" s="100" t="n">
        <v>144</v>
      </c>
      <c r="H68" s="100" t="n">
        <v>84</v>
      </c>
      <c r="I68" s="100" t="n">
        <v>52</v>
      </c>
      <c r="J68" s="100" t="n">
        <v>3</v>
      </c>
      <c r="K68" s="100" t="n">
        <v>19</v>
      </c>
      <c r="L68" s="100" t="n">
        <v>2</v>
      </c>
      <c r="M68" s="100" t="n">
        <v>173</v>
      </c>
      <c r="N68" s="99" t="inlineStr">
        <is>
          <t>Healthy</t>
        </is>
      </c>
      <c r="O68" s="100">
        <f>G68+H68</f>
        <v/>
      </c>
      <c r="P68" s="100">
        <f>G68+H68-I68-J68</f>
        <v/>
      </c>
      <c r="Q68" s="100">
        <f>MAX(0,P68)</f>
        <v/>
      </c>
      <c r="R68" s="100">
        <f>MAX(0,-P68)</f>
        <v/>
      </c>
      <c r="S68" s="101">
        <f>IFERROR(J68/O68,0)</f>
        <v/>
      </c>
      <c r="T68" s="101">
        <f>IFERROR(I68/O68,0)</f>
        <v/>
      </c>
      <c r="U68" s="102">
        <f>IF(P68&lt;=K68,"Reorder Required","Stock Sufficient")</f>
        <v/>
      </c>
      <c r="V68" s="102">
        <f>IF(AND(Q68=M68,(U68="Reorder Required")=(N68="Reorder Required")),"OK","Mismatch")</f>
        <v/>
      </c>
      <c r="W68" s="99" t="n"/>
    </row>
    <row r="69">
      <c r="A69" s="99" t="inlineStr">
        <is>
          <t>INV00068</t>
        </is>
      </c>
      <c r="B69" s="99" t="inlineStr">
        <is>
          <t>OUT002</t>
        </is>
      </c>
      <c r="C69" s="99">
        <f>INDEX(Lookup!$B$2:$B$11,MATCH(B69,Lookup!$A$2:$A$11,0))</f>
        <v/>
      </c>
      <c r="D69" s="99" t="inlineStr">
        <is>
          <t>BP018</t>
        </is>
      </c>
      <c r="E69" s="99">
        <f>INDEX(Lookup!$E$2:$E$51,MATCH(D69,Lookup!$D$2:$D$51,0))</f>
        <v/>
      </c>
      <c r="F69" s="99">
        <f>INDEX(Lookup!$F$2:$F$51,MATCH(D69,Lookup!$D$2:$D$51,0))</f>
        <v/>
      </c>
      <c r="G69" s="100" t="n">
        <v>90</v>
      </c>
      <c r="H69" s="100" t="n">
        <v>100</v>
      </c>
      <c r="I69" s="100" t="n">
        <v>77</v>
      </c>
      <c r="J69" s="100" t="n">
        <v>2</v>
      </c>
      <c r="K69" s="100" t="n">
        <v>27</v>
      </c>
      <c r="L69" s="100" t="n">
        <v>3</v>
      </c>
      <c r="M69" s="100" t="n">
        <v>111</v>
      </c>
      <c r="N69" s="99" t="inlineStr">
        <is>
          <t>Healthy</t>
        </is>
      </c>
      <c r="O69" s="100">
        <f>G69+H69</f>
        <v/>
      </c>
      <c r="P69" s="100">
        <f>G69+H69-I69-J69</f>
        <v/>
      </c>
      <c r="Q69" s="100">
        <f>MAX(0,P69)</f>
        <v/>
      </c>
      <c r="R69" s="100">
        <f>MAX(0,-P69)</f>
        <v/>
      </c>
      <c r="S69" s="101">
        <f>IFERROR(J69/O69,0)</f>
        <v/>
      </c>
      <c r="T69" s="101">
        <f>IFERROR(I69/O69,0)</f>
        <v/>
      </c>
      <c r="U69" s="102">
        <f>IF(P69&lt;=K69,"Reorder Required","Stock Sufficient")</f>
        <v/>
      </c>
      <c r="V69" s="102">
        <f>IF(AND(Q69=M69,(U69="Reorder Required")=(N69="Reorder Required")),"OK","Mismatch")</f>
        <v/>
      </c>
      <c r="W69" s="99" t="n"/>
    </row>
    <row r="70">
      <c r="A70" s="99" t="inlineStr">
        <is>
          <t>INV00069</t>
        </is>
      </c>
      <c r="B70" s="99" t="inlineStr">
        <is>
          <t>OUT002</t>
        </is>
      </c>
      <c r="C70" s="99">
        <f>INDEX(Lookup!$B$2:$B$11,MATCH(B70,Lookup!$A$2:$A$11,0))</f>
        <v/>
      </c>
      <c r="D70" s="99" t="inlineStr">
        <is>
          <t>BP019</t>
        </is>
      </c>
      <c r="E70" s="99">
        <f>INDEX(Lookup!$E$2:$E$51,MATCH(D70,Lookup!$D$2:$D$51,0))</f>
        <v/>
      </c>
      <c r="F70" s="99">
        <f>INDEX(Lookup!$F$2:$F$51,MATCH(D70,Lookup!$D$2:$D$51,0))</f>
        <v/>
      </c>
      <c r="G70" s="100" t="n">
        <v>53</v>
      </c>
      <c r="H70" s="100" t="n">
        <v>80</v>
      </c>
      <c r="I70" s="100" t="n">
        <v>101</v>
      </c>
      <c r="J70" s="100" t="n">
        <v>0</v>
      </c>
      <c r="K70" s="100" t="n">
        <v>36</v>
      </c>
      <c r="L70" s="100" t="n">
        <v>2</v>
      </c>
      <c r="M70" s="100" t="n">
        <v>32</v>
      </c>
      <c r="N70" s="99" t="inlineStr">
        <is>
          <t>Reorder Required</t>
        </is>
      </c>
      <c r="O70" s="100">
        <f>G70+H70</f>
        <v/>
      </c>
      <c r="P70" s="100">
        <f>G70+H70-I70-J70</f>
        <v/>
      </c>
      <c r="Q70" s="100">
        <f>MAX(0,P70)</f>
        <v/>
      </c>
      <c r="R70" s="100">
        <f>MAX(0,-P70)</f>
        <v/>
      </c>
      <c r="S70" s="101">
        <f>IFERROR(J70/O70,0)</f>
        <v/>
      </c>
      <c r="T70" s="101">
        <f>IFERROR(I70/O70,0)</f>
        <v/>
      </c>
      <c r="U70" s="102">
        <f>IF(P70&lt;=K70,"Reorder Required","Stock Sufficient")</f>
        <v/>
      </c>
      <c r="V70" s="102">
        <f>IF(AND(Q70=M70,(U70="Reorder Required")=(N70="Reorder Required")),"OK","Mismatch")</f>
        <v/>
      </c>
      <c r="W70" s="99" t="inlineStr">
        <is>
          <t>Restock immediately</t>
        </is>
      </c>
    </row>
    <row r="71">
      <c r="A71" s="99" t="inlineStr">
        <is>
          <t>INV00070</t>
        </is>
      </c>
      <c r="B71" s="99" t="inlineStr">
        <is>
          <t>OUT002</t>
        </is>
      </c>
      <c r="C71" s="99">
        <f>INDEX(Lookup!$B$2:$B$11,MATCH(B71,Lookup!$A$2:$A$11,0))</f>
        <v/>
      </c>
      <c r="D71" s="99" t="inlineStr">
        <is>
          <t>BP020</t>
        </is>
      </c>
      <c r="E71" s="99">
        <f>INDEX(Lookup!$E$2:$E$51,MATCH(D71,Lookup!$D$2:$D$51,0))</f>
        <v/>
      </c>
      <c r="F71" s="99">
        <f>INDEX(Lookup!$F$2:$F$51,MATCH(D71,Lookup!$D$2:$D$51,0))</f>
        <v/>
      </c>
      <c r="G71" s="100" t="n">
        <v>79</v>
      </c>
      <c r="H71" s="100" t="n">
        <v>33</v>
      </c>
      <c r="I71" s="100" t="n">
        <v>129</v>
      </c>
      <c r="J71" s="100" t="n">
        <v>1</v>
      </c>
      <c r="K71" s="100" t="n">
        <v>24</v>
      </c>
      <c r="L71" s="100" t="n">
        <v>4</v>
      </c>
      <c r="M71" s="100" t="n">
        <v>0</v>
      </c>
      <c r="N71" s="99" t="inlineStr">
        <is>
          <t>Reorder Required</t>
        </is>
      </c>
      <c r="O71" s="100">
        <f>G71+H71</f>
        <v/>
      </c>
      <c r="P71" s="100">
        <f>G71+H71-I71-J71</f>
        <v/>
      </c>
      <c r="Q71" s="100">
        <f>MAX(0,P71)</f>
        <v/>
      </c>
      <c r="R71" s="100">
        <f>MAX(0,-P71)</f>
        <v/>
      </c>
      <c r="S71" s="101">
        <f>IFERROR(J71/O71,0)</f>
        <v/>
      </c>
      <c r="T71" s="101">
        <f>IFERROR(I71/O71,0)</f>
        <v/>
      </c>
      <c r="U71" s="102">
        <f>IF(P71&lt;=K71,"Reorder Required","Stock Sufficient")</f>
        <v/>
      </c>
      <c r="V71" s="102">
        <f>IF(AND(Q71=M71,(U71="Reorder Required")=(N71="Reorder Required")),"OK","Mismatch")</f>
        <v/>
      </c>
      <c r="W71" s="99" t="inlineStr">
        <is>
          <t>Restock immediately</t>
        </is>
      </c>
    </row>
    <row r="72">
      <c r="A72" s="99" t="inlineStr">
        <is>
          <t>INV00071</t>
        </is>
      </c>
      <c r="B72" s="99" t="inlineStr">
        <is>
          <t>OUT002</t>
        </is>
      </c>
      <c r="C72" s="99">
        <f>INDEX(Lookup!$B$2:$B$11,MATCH(B72,Lookup!$A$2:$A$11,0))</f>
        <v/>
      </c>
      <c r="D72" s="99" t="inlineStr">
        <is>
          <t>BP021</t>
        </is>
      </c>
      <c r="E72" s="99">
        <f>INDEX(Lookup!$E$2:$E$51,MATCH(D72,Lookup!$D$2:$D$51,0))</f>
        <v/>
      </c>
      <c r="F72" s="99">
        <f>INDEX(Lookup!$F$2:$F$51,MATCH(D72,Lookup!$D$2:$D$51,0))</f>
        <v/>
      </c>
      <c r="G72" s="100" t="n">
        <v>91</v>
      </c>
      <c r="H72" s="100" t="n">
        <v>92</v>
      </c>
      <c r="I72" s="100" t="n">
        <v>86</v>
      </c>
      <c r="J72" s="100" t="n">
        <v>2</v>
      </c>
      <c r="K72" s="100" t="n">
        <v>20</v>
      </c>
      <c r="L72" s="100" t="n">
        <v>4</v>
      </c>
      <c r="M72" s="100" t="n">
        <v>95</v>
      </c>
      <c r="N72" s="99" t="inlineStr">
        <is>
          <t>Healthy</t>
        </is>
      </c>
      <c r="O72" s="100">
        <f>G72+H72</f>
        <v/>
      </c>
      <c r="P72" s="100">
        <f>G72+H72-I72-J72</f>
        <v/>
      </c>
      <c r="Q72" s="100">
        <f>MAX(0,P72)</f>
        <v/>
      </c>
      <c r="R72" s="100">
        <f>MAX(0,-P72)</f>
        <v/>
      </c>
      <c r="S72" s="101">
        <f>IFERROR(J72/O72,0)</f>
        <v/>
      </c>
      <c r="T72" s="101">
        <f>IFERROR(I72/O72,0)</f>
        <v/>
      </c>
      <c r="U72" s="102">
        <f>IF(P72&lt;=K72,"Reorder Required","Stock Sufficient")</f>
        <v/>
      </c>
      <c r="V72" s="102">
        <f>IF(AND(Q72=M72,(U72="Reorder Required")=(N72="Reorder Required")),"OK","Mismatch")</f>
        <v/>
      </c>
      <c r="W72" s="99" t="n"/>
    </row>
    <row r="73">
      <c r="A73" s="99" t="inlineStr">
        <is>
          <t>INV00072</t>
        </is>
      </c>
      <c r="B73" s="99" t="inlineStr">
        <is>
          <t>OUT002</t>
        </is>
      </c>
      <c r="C73" s="99">
        <f>INDEX(Lookup!$B$2:$B$11,MATCH(B73,Lookup!$A$2:$A$11,0))</f>
        <v/>
      </c>
      <c r="D73" s="99" t="inlineStr">
        <is>
          <t>BP022</t>
        </is>
      </c>
      <c r="E73" s="99">
        <f>INDEX(Lookup!$E$2:$E$51,MATCH(D73,Lookup!$D$2:$D$51,0))</f>
        <v/>
      </c>
      <c r="F73" s="99">
        <f>INDEX(Lookup!$F$2:$F$51,MATCH(D73,Lookup!$D$2:$D$51,0))</f>
        <v/>
      </c>
      <c r="G73" s="100" t="n">
        <v>149</v>
      </c>
      <c r="H73" s="100" t="n">
        <v>45</v>
      </c>
      <c r="I73" s="100" t="n">
        <v>66</v>
      </c>
      <c r="J73" s="100" t="n">
        <v>3</v>
      </c>
      <c r="K73" s="100" t="n">
        <v>21</v>
      </c>
      <c r="L73" s="100" t="n">
        <v>4</v>
      </c>
      <c r="M73" s="100" t="n">
        <v>125</v>
      </c>
      <c r="N73" s="99" t="inlineStr">
        <is>
          <t>Healthy</t>
        </is>
      </c>
      <c r="O73" s="100">
        <f>G73+H73</f>
        <v/>
      </c>
      <c r="P73" s="100">
        <f>G73+H73-I73-J73</f>
        <v/>
      </c>
      <c r="Q73" s="100">
        <f>MAX(0,P73)</f>
        <v/>
      </c>
      <c r="R73" s="100">
        <f>MAX(0,-P73)</f>
        <v/>
      </c>
      <c r="S73" s="101">
        <f>IFERROR(J73/O73,0)</f>
        <v/>
      </c>
      <c r="T73" s="101">
        <f>IFERROR(I73/O73,0)</f>
        <v/>
      </c>
      <c r="U73" s="102">
        <f>IF(P73&lt;=K73,"Reorder Required","Stock Sufficient")</f>
        <v/>
      </c>
      <c r="V73" s="102">
        <f>IF(AND(Q73=M73,(U73="Reorder Required")=(N73="Reorder Required")),"OK","Mismatch")</f>
        <v/>
      </c>
      <c r="W73" s="99" t="n"/>
    </row>
    <row r="74">
      <c r="A74" s="99" t="inlineStr">
        <is>
          <t>INV00073</t>
        </is>
      </c>
      <c r="B74" s="99" t="inlineStr">
        <is>
          <t>OUT002</t>
        </is>
      </c>
      <c r="C74" s="99">
        <f>INDEX(Lookup!$B$2:$B$11,MATCH(B74,Lookup!$A$2:$A$11,0))</f>
        <v/>
      </c>
      <c r="D74" s="99" t="inlineStr">
        <is>
          <t>BP023</t>
        </is>
      </c>
      <c r="E74" s="99">
        <f>INDEX(Lookup!$E$2:$E$51,MATCH(D74,Lookup!$D$2:$D$51,0))</f>
        <v/>
      </c>
      <c r="F74" s="99">
        <f>INDEX(Lookup!$F$2:$F$51,MATCH(D74,Lookup!$D$2:$D$51,0))</f>
        <v/>
      </c>
      <c r="G74" s="100" t="n">
        <v>55</v>
      </c>
      <c r="H74" s="100" t="n">
        <v>76</v>
      </c>
      <c r="I74" s="100" t="n">
        <v>61</v>
      </c>
      <c r="J74" s="100" t="n">
        <v>0</v>
      </c>
      <c r="K74" s="100" t="n">
        <v>28</v>
      </c>
      <c r="L74" s="100" t="n">
        <v>4</v>
      </c>
      <c r="M74" s="100" t="n">
        <v>70</v>
      </c>
      <c r="N74" s="99" t="inlineStr">
        <is>
          <t>Healthy</t>
        </is>
      </c>
      <c r="O74" s="100">
        <f>G74+H74</f>
        <v/>
      </c>
      <c r="P74" s="100">
        <f>G74+H74-I74-J74</f>
        <v/>
      </c>
      <c r="Q74" s="100">
        <f>MAX(0,P74)</f>
        <v/>
      </c>
      <c r="R74" s="100">
        <f>MAX(0,-P74)</f>
        <v/>
      </c>
      <c r="S74" s="101">
        <f>IFERROR(J74/O74,0)</f>
        <v/>
      </c>
      <c r="T74" s="101">
        <f>IFERROR(I74/O74,0)</f>
        <v/>
      </c>
      <c r="U74" s="102">
        <f>IF(P74&lt;=K74,"Reorder Required","Stock Sufficient")</f>
        <v/>
      </c>
      <c r="V74" s="102">
        <f>IF(AND(Q74=M74,(U74="Reorder Required")=(N74="Reorder Required")),"OK","Mismatch")</f>
        <v/>
      </c>
      <c r="W74" s="99" t="n"/>
    </row>
    <row r="75">
      <c r="A75" s="99" t="inlineStr">
        <is>
          <t>INV00074</t>
        </is>
      </c>
      <c r="B75" s="99" t="inlineStr">
        <is>
          <t>OUT002</t>
        </is>
      </c>
      <c r="C75" s="99">
        <f>INDEX(Lookup!$B$2:$B$11,MATCH(B75,Lookup!$A$2:$A$11,0))</f>
        <v/>
      </c>
      <c r="D75" s="99" t="inlineStr">
        <is>
          <t>BP024</t>
        </is>
      </c>
      <c r="E75" s="99">
        <f>INDEX(Lookup!$E$2:$E$51,MATCH(D75,Lookup!$D$2:$D$51,0))</f>
        <v/>
      </c>
      <c r="F75" s="99">
        <f>INDEX(Lookup!$F$2:$F$51,MATCH(D75,Lookup!$D$2:$D$51,0))</f>
        <v/>
      </c>
      <c r="G75" s="100" t="n">
        <v>49</v>
      </c>
      <c r="H75" s="100" t="n">
        <v>21</v>
      </c>
      <c r="I75" s="100" t="n">
        <v>74</v>
      </c>
      <c r="J75" s="100" t="n">
        <v>3</v>
      </c>
      <c r="K75" s="100" t="n">
        <v>34</v>
      </c>
      <c r="L75" s="100" t="n">
        <v>4</v>
      </c>
      <c r="M75" s="100" t="n">
        <v>0</v>
      </c>
      <c r="N75" s="99" t="inlineStr">
        <is>
          <t>Reorder Required</t>
        </is>
      </c>
      <c r="O75" s="100">
        <f>G75+H75</f>
        <v/>
      </c>
      <c r="P75" s="100">
        <f>G75+H75-I75-J75</f>
        <v/>
      </c>
      <c r="Q75" s="100">
        <f>MAX(0,P75)</f>
        <v/>
      </c>
      <c r="R75" s="100">
        <f>MAX(0,-P75)</f>
        <v/>
      </c>
      <c r="S75" s="101">
        <f>IFERROR(J75/O75,0)</f>
        <v/>
      </c>
      <c r="T75" s="101">
        <f>IFERROR(I75/O75,0)</f>
        <v/>
      </c>
      <c r="U75" s="102">
        <f>IF(P75&lt;=K75,"Reorder Required","Stock Sufficient")</f>
        <v/>
      </c>
      <c r="V75" s="102">
        <f>IF(AND(Q75=M75,(U75="Reorder Required")=(N75="Reorder Required")),"OK","Mismatch")</f>
        <v/>
      </c>
      <c r="W75" s="99" t="inlineStr">
        <is>
          <t>Restock immediately</t>
        </is>
      </c>
    </row>
    <row r="76">
      <c r="A76" s="99" t="inlineStr">
        <is>
          <t>INV00075</t>
        </is>
      </c>
      <c r="B76" s="99" t="inlineStr">
        <is>
          <t>OUT002</t>
        </is>
      </c>
      <c r="C76" s="99">
        <f>INDEX(Lookup!$B$2:$B$11,MATCH(B76,Lookup!$A$2:$A$11,0))</f>
        <v/>
      </c>
      <c r="D76" s="99" t="inlineStr">
        <is>
          <t>BP025</t>
        </is>
      </c>
      <c r="E76" s="99">
        <f>INDEX(Lookup!$E$2:$E$51,MATCH(D76,Lookup!$D$2:$D$51,0))</f>
        <v/>
      </c>
      <c r="F76" s="99">
        <f>INDEX(Lookup!$F$2:$F$51,MATCH(D76,Lookup!$D$2:$D$51,0))</f>
        <v/>
      </c>
      <c r="G76" s="100" t="n">
        <v>101</v>
      </c>
      <c r="H76" s="100" t="n">
        <v>32</v>
      </c>
      <c r="I76" s="100" t="n">
        <v>84</v>
      </c>
      <c r="J76" s="100" t="n">
        <v>3</v>
      </c>
      <c r="K76" s="100" t="n">
        <v>15</v>
      </c>
      <c r="L76" s="100" t="n">
        <v>5</v>
      </c>
      <c r="M76" s="100" t="n">
        <v>46</v>
      </c>
      <c r="N76" s="99" t="inlineStr">
        <is>
          <t>Healthy</t>
        </is>
      </c>
      <c r="O76" s="100">
        <f>G76+H76</f>
        <v/>
      </c>
      <c r="P76" s="100">
        <f>G76+H76-I76-J76</f>
        <v/>
      </c>
      <c r="Q76" s="100">
        <f>MAX(0,P76)</f>
        <v/>
      </c>
      <c r="R76" s="100">
        <f>MAX(0,-P76)</f>
        <v/>
      </c>
      <c r="S76" s="101">
        <f>IFERROR(J76/O76,0)</f>
        <v/>
      </c>
      <c r="T76" s="101">
        <f>IFERROR(I76/O76,0)</f>
        <v/>
      </c>
      <c r="U76" s="102">
        <f>IF(P76&lt;=K76,"Reorder Required","Stock Sufficient")</f>
        <v/>
      </c>
      <c r="V76" s="102">
        <f>IF(AND(Q76=M76,(U76="Reorder Required")=(N76="Reorder Required")),"OK","Mismatch")</f>
        <v/>
      </c>
      <c r="W76" s="99" t="n"/>
    </row>
    <row r="77">
      <c r="A77" s="99" t="inlineStr">
        <is>
          <t>INV00076</t>
        </is>
      </c>
      <c r="B77" s="99" t="inlineStr">
        <is>
          <t>OUT002</t>
        </is>
      </c>
      <c r="C77" s="99">
        <f>INDEX(Lookup!$B$2:$B$11,MATCH(B77,Lookup!$A$2:$A$11,0))</f>
        <v/>
      </c>
      <c r="D77" s="99" t="inlineStr">
        <is>
          <t>BP026</t>
        </is>
      </c>
      <c r="E77" s="99">
        <f>INDEX(Lookup!$E$2:$E$51,MATCH(D77,Lookup!$D$2:$D$51,0))</f>
        <v/>
      </c>
      <c r="F77" s="99">
        <f>INDEX(Lookup!$F$2:$F$51,MATCH(D77,Lookup!$D$2:$D$51,0))</f>
        <v/>
      </c>
      <c r="G77" s="100" t="n">
        <v>98</v>
      </c>
      <c r="H77" s="100" t="n">
        <v>21</v>
      </c>
      <c r="I77" s="100" t="n">
        <v>104</v>
      </c>
      <c r="J77" s="100" t="n">
        <v>3</v>
      </c>
      <c r="K77" s="100" t="n">
        <v>16</v>
      </c>
      <c r="L77" s="100" t="n">
        <v>4</v>
      </c>
      <c r="M77" s="100" t="n">
        <v>12</v>
      </c>
      <c r="N77" s="99" t="inlineStr">
        <is>
          <t>Reorder Required</t>
        </is>
      </c>
      <c r="O77" s="100">
        <f>G77+H77</f>
        <v/>
      </c>
      <c r="P77" s="100">
        <f>G77+H77-I77-J77</f>
        <v/>
      </c>
      <c r="Q77" s="100">
        <f>MAX(0,P77)</f>
        <v/>
      </c>
      <c r="R77" s="100">
        <f>MAX(0,-P77)</f>
        <v/>
      </c>
      <c r="S77" s="101">
        <f>IFERROR(J77/O77,0)</f>
        <v/>
      </c>
      <c r="T77" s="101">
        <f>IFERROR(I77/O77,0)</f>
        <v/>
      </c>
      <c r="U77" s="102">
        <f>IF(P77&lt;=K77,"Reorder Required","Stock Sufficient")</f>
        <v/>
      </c>
      <c r="V77" s="102">
        <f>IF(AND(Q77=M77,(U77="Reorder Required")=(N77="Reorder Required")),"OK","Mismatch")</f>
        <v/>
      </c>
      <c r="W77" s="99" t="inlineStr">
        <is>
          <t>Restock immediately</t>
        </is>
      </c>
    </row>
    <row r="78">
      <c r="A78" s="99" t="inlineStr">
        <is>
          <t>INV00077</t>
        </is>
      </c>
      <c r="B78" s="99" t="inlineStr">
        <is>
          <t>OUT002</t>
        </is>
      </c>
      <c r="C78" s="99">
        <f>INDEX(Lookup!$B$2:$B$11,MATCH(B78,Lookup!$A$2:$A$11,0))</f>
        <v/>
      </c>
      <c r="D78" s="99" t="inlineStr">
        <is>
          <t>BP027</t>
        </is>
      </c>
      <c r="E78" s="99">
        <f>INDEX(Lookup!$E$2:$E$51,MATCH(D78,Lookup!$D$2:$D$51,0))</f>
        <v/>
      </c>
      <c r="F78" s="99">
        <f>INDEX(Lookup!$F$2:$F$51,MATCH(D78,Lookup!$D$2:$D$51,0))</f>
        <v/>
      </c>
      <c r="G78" s="100" t="n">
        <v>98</v>
      </c>
      <c r="H78" s="100" t="n">
        <v>66</v>
      </c>
      <c r="I78" s="100" t="n">
        <v>46</v>
      </c>
      <c r="J78" s="100" t="n">
        <v>1</v>
      </c>
      <c r="K78" s="100" t="n">
        <v>29</v>
      </c>
      <c r="L78" s="100" t="n">
        <v>3</v>
      </c>
      <c r="M78" s="100" t="n">
        <v>117</v>
      </c>
      <c r="N78" s="99" t="inlineStr">
        <is>
          <t>Healthy</t>
        </is>
      </c>
      <c r="O78" s="100">
        <f>G78+H78</f>
        <v/>
      </c>
      <c r="P78" s="100">
        <f>G78+H78-I78-J78</f>
        <v/>
      </c>
      <c r="Q78" s="100">
        <f>MAX(0,P78)</f>
        <v/>
      </c>
      <c r="R78" s="100">
        <f>MAX(0,-P78)</f>
        <v/>
      </c>
      <c r="S78" s="101">
        <f>IFERROR(J78/O78,0)</f>
        <v/>
      </c>
      <c r="T78" s="101">
        <f>IFERROR(I78/O78,0)</f>
        <v/>
      </c>
      <c r="U78" s="102">
        <f>IF(P78&lt;=K78,"Reorder Required","Stock Sufficient")</f>
        <v/>
      </c>
      <c r="V78" s="102">
        <f>IF(AND(Q78=M78,(U78="Reorder Required")=(N78="Reorder Required")),"OK","Mismatch")</f>
        <v/>
      </c>
      <c r="W78" s="99" t="n"/>
    </row>
    <row r="79">
      <c r="A79" s="99" t="inlineStr">
        <is>
          <t>INV00078</t>
        </is>
      </c>
      <c r="B79" s="99" t="inlineStr">
        <is>
          <t>OUT002</t>
        </is>
      </c>
      <c r="C79" s="99">
        <f>INDEX(Lookup!$B$2:$B$11,MATCH(B79,Lookup!$A$2:$A$11,0))</f>
        <v/>
      </c>
      <c r="D79" s="99" t="inlineStr">
        <is>
          <t>BP028</t>
        </is>
      </c>
      <c r="E79" s="99">
        <f>INDEX(Lookup!$E$2:$E$51,MATCH(D79,Lookup!$D$2:$D$51,0))</f>
        <v/>
      </c>
      <c r="F79" s="99">
        <f>INDEX(Lookup!$F$2:$F$51,MATCH(D79,Lookup!$D$2:$D$51,0))</f>
        <v/>
      </c>
      <c r="G79" s="100" t="n">
        <v>65</v>
      </c>
      <c r="H79" s="100" t="n">
        <v>91</v>
      </c>
      <c r="I79" s="100" t="n">
        <v>107</v>
      </c>
      <c r="J79" s="100" t="n">
        <v>1</v>
      </c>
      <c r="K79" s="100" t="n">
        <v>25</v>
      </c>
      <c r="L79" s="100" t="n">
        <v>4</v>
      </c>
      <c r="M79" s="100" t="n">
        <v>48</v>
      </c>
      <c r="N79" s="99" t="inlineStr">
        <is>
          <t>Healthy</t>
        </is>
      </c>
      <c r="O79" s="100">
        <f>G79+H79</f>
        <v/>
      </c>
      <c r="P79" s="100">
        <f>G79+H79-I79-J79</f>
        <v/>
      </c>
      <c r="Q79" s="100">
        <f>MAX(0,P79)</f>
        <v/>
      </c>
      <c r="R79" s="100">
        <f>MAX(0,-P79)</f>
        <v/>
      </c>
      <c r="S79" s="101">
        <f>IFERROR(J79/O79,0)</f>
        <v/>
      </c>
      <c r="T79" s="101">
        <f>IFERROR(I79/O79,0)</f>
        <v/>
      </c>
      <c r="U79" s="102">
        <f>IF(P79&lt;=K79,"Reorder Required","Stock Sufficient")</f>
        <v/>
      </c>
      <c r="V79" s="102">
        <f>IF(AND(Q79=M79,(U79="Reorder Required")=(N79="Reorder Required")),"OK","Mismatch")</f>
        <v/>
      </c>
      <c r="W79" s="99" t="n"/>
    </row>
    <row r="80">
      <c r="A80" s="99" t="inlineStr">
        <is>
          <t>INV00079</t>
        </is>
      </c>
      <c r="B80" s="99" t="inlineStr">
        <is>
          <t>OUT002</t>
        </is>
      </c>
      <c r="C80" s="99">
        <f>INDEX(Lookup!$B$2:$B$11,MATCH(B80,Lookup!$A$2:$A$11,0))</f>
        <v/>
      </c>
      <c r="D80" s="99" t="inlineStr">
        <is>
          <t>BP029</t>
        </is>
      </c>
      <c r="E80" s="99">
        <f>INDEX(Lookup!$E$2:$E$51,MATCH(D80,Lookup!$D$2:$D$51,0))</f>
        <v/>
      </c>
      <c r="F80" s="99">
        <f>INDEX(Lookup!$F$2:$F$51,MATCH(D80,Lookup!$D$2:$D$51,0))</f>
        <v/>
      </c>
      <c r="G80" s="100" t="n">
        <v>58</v>
      </c>
      <c r="H80" s="100" t="n">
        <v>29</v>
      </c>
      <c r="I80" s="100" t="n">
        <v>79</v>
      </c>
      <c r="J80" s="100" t="n">
        <v>3</v>
      </c>
      <c r="K80" s="100" t="n">
        <v>36</v>
      </c>
      <c r="L80" s="100" t="n">
        <v>3</v>
      </c>
      <c r="M80" s="100" t="n">
        <v>5</v>
      </c>
      <c r="N80" s="99" t="inlineStr">
        <is>
          <t>Reorder Required</t>
        </is>
      </c>
      <c r="O80" s="100">
        <f>G80+H80</f>
        <v/>
      </c>
      <c r="P80" s="100">
        <f>G80+H80-I80-J80</f>
        <v/>
      </c>
      <c r="Q80" s="100">
        <f>MAX(0,P80)</f>
        <v/>
      </c>
      <c r="R80" s="100">
        <f>MAX(0,-P80)</f>
        <v/>
      </c>
      <c r="S80" s="101">
        <f>IFERROR(J80/O80,0)</f>
        <v/>
      </c>
      <c r="T80" s="101">
        <f>IFERROR(I80/O80,0)</f>
        <v/>
      </c>
      <c r="U80" s="102">
        <f>IF(P80&lt;=K80,"Reorder Required","Stock Sufficient")</f>
        <v/>
      </c>
      <c r="V80" s="102">
        <f>IF(AND(Q80=M80,(U80="Reorder Required")=(N80="Reorder Required")),"OK","Mismatch")</f>
        <v/>
      </c>
      <c r="W80" s="99" t="inlineStr">
        <is>
          <t>Restock immediately</t>
        </is>
      </c>
    </row>
    <row r="81">
      <c r="A81" s="99" t="inlineStr">
        <is>
          <t>INV00080</t>
        </is>
      </c>
      <c r="B81" s="99" t="inlineStr">
        <is>
          <t>OUT002</t>
        </is>
      </c>
      <c r="C81" s="99">
        <f>INDEX(Lookup!$B$2:$B$11,MATCH(B81,Lookup!$A$2:$A$11,0))</f>
        <v/>
      </c>
      <c r="D81" s="99" t="inlineStr">
        <is>
          <t>BP030</t>
        </is>
      </c>
      <c r="E81" s="99">
        <f>INDEX(Lookup!$E$2:$E$51,MATCH(D81,Lookup!$D$2:$D$51,0))</f>
        <v/>
      </c>
      <c r="F81" s="99">
        <f>INDEX(Lookup!$F$2:$F$51,MATCH(D81,Lookup!$D$2:$D$51,0))</f>
        <v/>
      </c>
      <c r="G81" s="100" t="n">
        <v>62</v>
      </c>
      <c r="H81" s="100" t="n">
        <v>37</v>
      </c>
      <c r="I81" s="100" t="n">
        <v>105</v>
      </c>
      <c r="J81" s="100" t="n">
        <v>7</v>
      </c>
      <c r="K81" s="100" t="n">
        <v>24</v>
      </c>
      <c r="L81" s="100" t="n">
        <v>5</v>
      </c>
      <c r="M81" s="100" t="n">
        <v>0</v>
      </c>
      <c r="N81" s="99" t="inlineStr">
        <is>
          <t>Reorder Required</t>
        </is>
      </c>
      <c r="O81" s="100">
        <f>G81+H81</f>
        <v/>
      </c>
      <c r="P81" s="100">
        <f>G81+H81-I81-J81</f>
        <v/>
      </c>
      <c r="Q81" s="100">
        <f>MAX(0,P81)</f>
        <v/>
      </c>
      <c r="R81" s="100">
        <f>MAX(0,-P81)</f>
        <v/>
      </c>
      <c r="S81" s="101">
        <f>IFERROR(J81/O81,0)</f>
        <v/>
      </c>
      <c r="T81" s="101">
        <f>IFERROR(I81/O81,0)</f>
        <v/>
      </c>
      <c r="U81" s="102">
        <f>IF(P81&lt;=K81,"Reorder Required","Stock Sufficient")</f>
        <v/>
      </c>
      <c r="V81" s="102">
        <f>IF(AND(Q81=M81,(U81="Reorder Required")=(N81="Reorder Required")),"OK","Mismatch")</f>
        <v/>
      </c>
      <c r="W81" s="99" t="inlineStr">
        <is>
          <t>Restock immediately</t>
        </is>
      </c>
    </row>
    <row r="82">
      <c r="A82" s="99" t="inlineStr">
        <is>
          <t>INV00081</t>
        </is>
      </c>
      <c r="B82" s="99" t="inlineStr">
        <is>
          <t>OUT002</t>
        </is>
      </c>
      <c r="C82" s="99">
        <f>INDEX(Lookup!$B$2:$B$11,MATCH(B82,Lookup!$A$2:$A$11,0))</f>
        <v/>
      </c>
      <c r="D82" s="99" t="inlineStr">
        <is>
          <t>BP031</t>
        </is>
      </c>
      <c r="E82" s="99">
        <f>INDEX(Lookup!$E$2:$E$51,MATCH(D82,Lookup!$D$2:$D$51,0))</f>
        <v/>
      </c>
      <c r="F82" s="99">
        <f>INDEX(Lookup!$F$2:$F$51,MATCH(D82,Lookup!$D$2:$D$51,0))</f>
        <v/>
      </c>
      <c r="G82" s="100" t="n">
        <v>98</v>
      </c>
      <c r="H82" s="100" t="n">
        <v>59</v>
      </c>
      <c r="I82" s="100" t="n">
        <v>68</v>
      </c>
      <c r="J82" s="100" t="n">
        <v>2</v>
      </c>
      <c r="K82" s="100" t="n">
        <v>31</v>
      </c>
      <c r="L82" s="100" t="n">
        <v>5</v>
      </c>
      <c r="M82" s="100" t="n">
        <v>87</v>
      </c>
      <c r="N82" s="99" t="inlineStr">
        <is>
          <t>Healthy</t>
        </is>
      </c>
      <c r="O82" s="100">
        <f>G82+H82</f>
        <v/>
      </c>
      <c r="P82" s="100">
        <f>G82+H82-I82-J82</f>
        <v/>
      </c>
      <c r="Q82" s="100">
        <f>MAX(0,P82)</f>
        <v/>
      </c>
      <c r="R82" s="100">
        <f>MAX(0,-P82)</f>
        <v/>
      </c>
      <c r="S82" s="101">
        <f>IFERROR(J82/O82,0)</f>
        <v/>
      </c>
      <c r="T82" s="101">
        <f>IFERROR(I82/O82,0)</f>
        <v/>
      </c>
      <c r="U82" s="102">
        <f>IF(P82&lt;=K82,"Reorder Required","Stock Sufficient")</f>
        <v/>
      </c>
      <c r="V82" s="102">
        <f>IF(AND(Q82=M82,(U82="Reorder Required")=(N82="Reorder Required")),"OK","Mismatch")</f>
        <v/>
      </c>
      <c r="W82" s="99" t="n"/>
    </row>
    <row r="83">
      <c r="A83" s="99" t="inlineStr">
        <is>
          <t>INV00082</t>
        </is>
      </c>
      <c r="B83" s="99" t="inlineStr">
        <is>
          <t>OUT002</t>
        </is>
      </c>
      <c r="C83" s="99">
        <f>INDEX(Lookup!$B$2:$B$11,MATCH(B83,Lookup!$A$2:$A$11,0))</f>
        <v/>
      </c>
      <c r="D83" s="99" t="inlineStr">
        <is>
          <t>BP032</t>
        </is>
      </c>
      <c r="E83" s="99">
        <f>INDEX(Lookup!$E$2:$E$51,MATCH(D83,Lookup!$D$2:$D$51,0))</f>
        <v/>
      </c>
      <c r="F83" s="99">
        <f>INDEX(Lookup!$F$2:$F$51,MATCH(D83,Lookup!$D$2:$D$51,0))</f>
        <v/>
      </c>
      <c r="G83" s="100" t="n">
        <v>118</v>
      </c>
      <c r="H83" s="100" t="n">
        <v>100</v>
      </c>
      <c r="I83" s="100" t="n">
        <v>61</v>
      </c>
      <c r="J83" s="100" t="n">
        <v>6</v>
      </c>
      <c r="K83" s="100" t="n">
        <v>35</v>
      </c>
      <c r="L83" s="100" t="n">
        <v>2</v>
      </c>
      <c r="M83" s="100" t="n">
        <v>151</v>
      </c>
      <c r="N83" s="99" t="inlineStr">
        <is>
          <t>Healthy</t>
        </is>
      </c>
      <c r="O83" s="100">
        <f>G83+H83</f>
        <v/>
      </c>
      <c r="P83" s="100">
        <f>G83+H83-I83-J83</f>
        <v/>
      </c>
      <c r="Q83" s="100">
        <f>MAX(0,P83)</f>
        <v/>
      </c>
      <c r="R83" s="100">
        <f>MAX(0,-P83)</f>
        <v/>
      </c>
      <c r="S83" s="101">
        <f>IFERROR(J83/O83,0)</f>
        <v/>
      </c>
      <c r="T83" s="101">
        <f>IFERROR(I83/O83,0)</f>
        <v/>
      </c>
      <c r="U83" s="102">
        <f>IF(P83&lt;=K83,"Reorder Required","Stock Sufficient")</f>
        <v/>
      </c>
      <c r="V83" s="102">
        <f>IF(AND(Q83=M83,(U83="Reorder Required")=(N83="Reorder Required")),"OK","Mismatch")</f>
        <v/>
      </c>
      <c r="W83" s="99" t="n"/>
    </row>
    <row r="84">
      <c r="A84" s="99" t="inlineStr">
        <is>
          <t>INV00083</t>
        </is>
      </c>
      <c r="B84" s="99" t="inlineStr">
        <is>
          <t>OUT002</t>
        </is>
      </c>
      <c r="C84" s="99">
        <f>INDEX(Lookup!$B$2:$B$11,MATCH(B84,Lookup!$A$2:$A$11,0))</f>
        <v/>
      </c>
      <c r="D84" s="99" t="inlineStr">
        <is>
          <t>BP033</t>
        </is>
      </c>
      <c r="E84" s="99">
        <f>INDEX(Lookup!$E$2:$E$51,MATCH(D84,Lookup!$D$2:$D$51,0))</f>
        <v/>
      </c>
      <c r="F84" s="99">
        <f>INDEX(Lookup!$F$2:$F$51,MATCH(D84,Lookup!$D$2:$D$51,0))</f>
        <v/>
      </c>
      <c r="G84" s="100" t="n">
        <v>132</v>
      </c>
      <c r="H84" s="100" t="n">
        <v>32</v>
      </c>
      <c r="I84" s="100" t="n">
        <v>124</v>
      </c>
      <c r="J84" s="100" t="n">
        <v>7</v>
      </c>
      <c r="K84" s="100" t="n">
        <v>21</v>
      </c>
      <c r="L84" s="100" t="n">
        <v>5</v>
      </c>
      <c r="M84" s="100" t="n">
        <v>33</v>
      </c>
      <c r="N84" s="99" t="inlineStr">
        <is>
          <t>Healthy</t>
        </is>
      </c>
      <c r="O84" s="100">
        <f>G84+H84</f>
        <v/>
      </c>
      <c r="P84" s="100">
        <f>G84+H84-I84-J84</f>
        <v/>
      </c>
      <c r="Q84" s="100">
        <f>MAX(0,P84)</f>
        <v/>
      </c>
      <c r="R84" s="100">
        <f>MAX(0,-P84)</f>
        <v/>
      </c>
      <c r="S84" s="101">
        <f>IFERROR(J84/O84,0)</f>
        <v/>
      </c>
      <c r="T84" s="101">
        <f>IFERROR(I84/O84,0)</f>
        <v/>
      </c>
      <c r="U84" s="102">
        <f>IF(P84&lt;=K84,"Reorder Required","Stock Sufficient")</f>
        <v/>
      </c>
      <c r="V84" s="102">
        <f>IF(AND(Q84=M84,(U84="Reorder Required")=(N84="Reorder Required")),"OK","Mismatch")</f>
        <v/>
      </c>
      <c r="W84" s="99" t="n"/>
    </row>
    <row r="85">
      <c r="A85" s="99" t="inlineStr">
        <is>
          <t>INV00084</t>
        </is>
      </c>
      <c r="B85" s="99" t="inlineStr">
        <is>
          <t>OUT002</t>
        </is>
      </c>
      <c r="C85" s="99">
        <f>INDEX(Lookup!$B$2:$B$11,MATCH(B85,Lookup!$A$2:$A$11,0))</f>
        <v/>
      </c>
      <c r="D85" s="99" t="inlineStr">
        <is>
          <t>BP034</t>
        </is>
      </c>
      <c r="E85" s="99">
        <f>INDEX(Lookup!$E$2:$E$51,MATCH(D85,Lookup!$D$2:$D$51,0))</f>
        <v/>
      </c>
      <c r="F85" s="99">
        <f>INDEX(Lookup!$F$2:$F$51,MATCH(D85,Lookup!$D$2:$D$51,0))</f>
        <v/>
      </c>
      <c r="G85" s="100" t="n">
        <v>102</v>
      </c>
      <c r="H85" s="100" t="n">
        <v>51</v>
      </c>
      <c r="I85" s="100" t="n">
        <v>107</v>
      </c>
      <c r="J85" s="100" t="n">
        <v>7</v>
      </c>
      <c r="K85" s="100" t="n">
        <v>37</v>
      </c>
      <c r="L85" s="100" t="n">
        <v>5</v>
      </c>
      <c r="M85" s="100" t="n">
        <v>39</v>
      </c>
      <c r="N85" s="99" t="inlineStr">
        <is>
          <t>Healthy</t>
        </is>
      </c>
      <c r="O85" s="100">
        <f>G85+H85</f>
        <v/>
      </c>
      <c r="P85" s="100">
        <f>G85+H85-I85-J85</f>
        <v/>
      </c>
      <c r="Q85" s="100">
        <f>MAX(0,P85)</f>
        <v/>
      </c>
      <c r="R85" s="100">
        <f>MAX(0,-P85)</f>
        <v/>
      </c>
      <c r="S85" s="101">
        <f>IFERROR(J85/O85,0)</f>
        <v/>
      </c>
      <c r="T85" s="101">
        <f>IFERROR(I85/O85,0)</f>
        <v/>
      </c>
      <c r="U85" s="102">
        <f>IF(P85&lt;=K85,"Reorder Required","Stock Sufficient")</f>
        <v/>
      </c>
      <c r="V85" s="102">
        <f>IF(AND(Q85=M85,(U85="Reorder Required")=(N85="Reorder Required")),"OK","Mismatch")</f>
        <v/>
      </c>
      <c r="W85" s="99" t="n"/>
    </row>
    <row r="86">
      <c r="A86" s="99" t="inlineStr">
        <is>
          <t>INV00085</t>
        </is>
      </c>
      <c r="B86" s="99" t="inlineStr">
        <is>
          <t>OUT002</t>
        </is>
      </c>
      <c r="C86" s="99">
        <f>INDEX(Lookup!$B$2:$B$11,MATCH(B86,Lookup!$A$2:$A$11,0))</f>
        <v/>
      </c>
      <c r="D86" s="99" t="inlineStr">
        <is>
          <t>BP035</t>
        </is>
      </c>
      <c r="E86" s="99">
        <f>INDEX(Lookup!$E$2:$E$51,MATCH(D86,Lookup!$D$2:$D$51,0))</f>
        <v/>
      </c>
      <c r="F86" s="99">
        <f>INDEX(Lookup!$F$2:$F$51,MATCH(D86,Lookup!$D$2:$D$51,0))</f>
        <v/>
      </c>
      <c r="G86" s="100" t="n">
        <v>119</v>
      </c>
      <c r="H86" s="100" t="n">
        <v>84</v>
      </c>
      <c r="I86" s="100" t="n">
        <v>83</v>
      </c>
      <c r="J86" s="100" t="n">
        <v>2</v>
      </c>
      <c r="K86" s="100" t="n">
        <v>18</v>
      </c>
      <c r="L86" s="100" t="n">
        <v>3</v>
      </c>
      <c r="M86" s="100" t="n">
        <v>118</v>
      </c>
      <c r="N86" s="99" t="inlineStr">
        <is>
          <t>Healthy</t>
        </is>
      </c>
      <c r="O86" s="100">
        <f>G86+H86</f>
        <v/>
      </c>
      <c r="P86" s="100">
        <f>G86+H86-I86-J86</f>
        <v/>
      </c>
      <c r="Q86" s="100">
        <f>MAX(0,P86)</f>
        <v/>
      </c>
      <c r="R86" s="100">
        <f>MAX(0,-P86)</f>
        <v/>
      </c>
      <c r="S86" s="101">
        <f>IFERROR(J86/O86,0)</f>
        <v/>
      </c>
      <c r="T86" s="101">
        <f>IFERROR(I86/O86,0)</f>
        <v/>
      </c>
      <c r="U86" s="102">
        <f>IF(P86&lt;=K86,"Reorder Required","Stock Sufficient")</f>
        <v/>
      </c>
      <c r="V86" s="102">
        <f>IF(AND(Q86=M86,(U86="Reorder Required")=(N86="Reorder Required")),"OK","Mismatch")</f>
        <v/>
      </c>
      <c r="W86" s="99" t="n"/>
    </row>
    <row r="87">
      <c r="A87" s="99" t="inlineStr">
        <is>
          <t>INV00086</t>
        </is>
      </c>
      <c r="B87" s="99" t="inlineStr">
        <is>
          <t>OUT002</t>
        </is>
      </c>
      <c r="C87" s="99">
        <f>INDEX(Lookup!$B$2:$B$11,MATCH(B87,Lookup!$A$2:$A$11,0))</f>
        <v/>
      </c>
      <c r="D87" s="99" t="inlineStr">
        <is>
          <t>BP036</t>
        </is>
      </c>
      <c r="E87" s="99">
        <f>INDEX(Lookup!$E$2:$E$51,MATCH(D87,Lookup!$D$2:$D$51,0))</f>
        <v/>
      </c>
      <c r="F87" s="99">
        <f>INDEX(Lookup!$F$2:$F$51,MATCH(D87,Lookup!$D$2:$D$51,0))</f>
        <v/>
      </c>
      <c r="G87" s="100" t="n">
        <v>90</v>
      </c>
      <c r="H87" s="100" t="n">
        <v>100</v>
      </c>
      <c r="I87" s="100" t="n">
        <v>105</v>
      </c>
      <c r="J87" s="100" t="n">
        <v>3</v>
      </c>
      <c r="K87" s="100" t="n">
        <v>32</v>
      </c>
      <c r="L87" s="100" t="n">
        <v>4</v>
      </c>
      <c r="M87" s="100" t="n">
        <v>82</v>
      </c>
      <c r="N87" s="99" t="inlineStr">
        <is>
          <t>Healthy</t>
        </is>
      </c>
      <c r="O87" s="100">
        <f>G87+H87</f>
        <v/>
      </c>
      <c r="P87" s="100">
        <f>G87+H87-I87-J87</f>
        <v/>
      </c>
      <c r="Q87" s="100">
        <f>MAX(0,P87)</f>
        <v/>
      </c>
      <c r="R87" s="100">
        <f>MAX(0,-P87)</f>
        <v/>
      </c>
      <c r="S87" s="101">
        <f>IFERROR(J87/O87,0)</f>
        <v/>
      </c>
      <c r="T87" s="101">
        <f>IFERROR(I87/O87,0)</f>
        <v/>
      </c>
      <c r="U87" s="102">
        <f>IF(P87&lt;=K87,"Reorder Required","Stock Sufficient")</f>
        <v/>
      </c>
      <c r="V87" s="102">
        <f>IF(AND(Q87=M87,(U87="Reorder Required")=(N87="Reorder Required")),"OK","Mismatch")</f>
        <v/>
      </c>
      <c r="W87" s="99" t="n"/>
    </row>
    <row r="88">
      <c r="A88" s="99" t="inlineStr">
        <is>
          <t>INV00087</t>
        </is>
      </c>
      <c r="B88" s="99" t="inlineStr">
        <is>
          <t>OUT002</t>
        </is>
      </c>
      <c r="C88" s="99">
        <f>INDEX(Lookup!$B$2:$B$11,MATCH(B88,Lookup!$A$2:$A$11,0))</f>
        <v/>
      </c>
      <c r="D88" s="99" t="inlineStr">
        <is>
          <t>BP037</t>
        </is>
      </c>
      <c r="E88" s="99">
        <f>INDEX(Lookup!$E$2:$E$51,MATCH(D88,Lookup!$D$2:$D$51,0))</f>
        <v/>
      </c>
      <c r="F88" s="99">
        <f>INDEX(Lookup!$F$2:$F$51,MATCH(D88,Lookup!$D$2:$D$51,0))</f>
        <v/>
      </c>
      <c r="G88" s="100" t="n">
        <v>107</v>
      </c>
      <c r="H88" s="100" t="n">
        <v>64</v>
      </c>
      <c r="I88" s="100" t="n">
        <v>122</v>
      </c>
      <c r="J88" s="100" t="n">
        <v>6</v>
      </c>
      <c r="K88" s="100" t="n">
        <v>33</v>
      </c>
      <c r="L88" s="100" t="n">
        <v>1</v>
      </c>
      <c r="M88" s="100" t="n">
        <v>43</v>
      </c>
      <c r="N88" s="99" t="inlineStr">
        <is>
          <t>Healthy</t>
        </is>
      </c>
      <c r="O88" s="100">
        <f>G88+H88</f>
        <v/>
      </c>
      <c r="P88" s="100">
        <f>G88+H88-I88-J88</f>
        <v/>
      </c>
      <c r="Q88" s="100">
        <f>MAX(0,P88)</f>
        <v/>
      </c>
      <c r="R88" s="100">
        <f>MAX(0,-P88)</f>
        <v/>
      </c>
      <c r="S88" s="101">
        <f>IFERROR(J88/O88,0)</f>
        <v/>
      </c>
      <c r="T88" s="101">
        <f>IFERROR(I88/O88,0)</f>
        <v/>
      </c>
      <c r="U88" s="102">
        <f>IF(P88&lt;=K88,"Reorder Required","Stock Sufficient")</f>
        <v/>
      </c>
      <c r="V88" s="102">
        <f>IF(AND(Q88=M88,(U88="Reorder Required")=(N88="Reorder Required")),"OK","Mismatch")</f>
        <v/>
      </c>
      <c r="W88" s="99" t="n"/>
    </row>
    <row r="89">
      <c r="A89" s="99" t="inlineStr">
        <is>
          <t>INV00088</t>
        </is>
      </c>
      <c r="B89" s="99" t="inlineStr">
        <is>
          <t>OUT002</t>
        </is>
      </c>
      <c r="C89" s="99">
        <f>INDEX(Lookup!$B$2:$B$11,MATCH(B89,Lookup!$A$2:$A$11,0))</f>
        <v/>
      </c>
      <c r="D89" s="99" t="inlineStr">
        <is>
          <t>BP038</t>
        </is>
      </c>
      <c r="E89" s="99">
        <f>INDEX(Lookup!$E$2:$E$51,MATCH(D89,Lookup!$D$2:$D$51,0))</f>
        <v/>
      </c>
      <c r="F89" s="99">
        <f>INDEX(Lookup!$F$2:$F$51,MATCH(D89,Lookup!$D$2:$D$51,0))</f>
        <v/>
      </c>
      <c r="G89" s="100" t="n">
        <v>70</v>
      </c>
      <c r="H89" s="100" t="n">
        <v>47</v>
      </c>
      <c r="I89" s="100" t="n">
        <v>74</v>
      </c>
      <c r="J89" s="100" t="n">
        <v>4</v>
      </c>
      <c r="K89" s="100" t="n">
        <v>17</v>
      </c>
      <c r="L89" s="100" t="n">
        <v>2</v>
      </c>
      <c r="M89" s="100" t="n">
        <v>39</v>
      </c>
      <c r="N89" s="99" t="inlineStr">
        <is>
          <t>Healthy</t>
        </is>
      </c>
      <c r="O89" s="100">
        <f>G89+H89</f>
        <v/>
      </c>
      <c r="P89" s="100">
        <f>G89+H89-I89-J89</f>
        <v/>
      </c>
      <c r="Q89" s="100">
        <f>MAX(0,P89)</f>
        <v/>
      </c>
      <c r="R89" s="100">
        <f>MAX(0,-P89)</f>
        <v/>
      </c>
      <c r="S89" s="101">
        <f>IFERROR(J89/O89,0)</f>
        <v/>
      </c>
      <c r="T89" s="101">
        <f>IFERROR(I89/O89,0)</f>
        <v/>
      </c>
      <c r="U89" s="102">
        <f>IF(P89&lt;=K89,"Reorder Required","Stock Sufficient")</f>
        <v/>
      </c>
      <c r="V89" s="102">
        <f>IF(AND(Q89=M89,(U89="Reorder Required")=(N89="Reorder Required")),"OK","Mismatch")</f>
        <v/>
      </c>
      <c r="W89" s="99" t="n"/>
    </row>
    <row r="90">
      <c r="A90" s="99" t="inlineStr">
        <is>
          <t>INV00089</t>
        </is>
      </c>
      <c r="B90" s="99" t="inlineStr">
        <is>
          <t>OUT002</t>
        </is>
      </c>
      <c r="C90" s="99">
        <f>INDEX(Lookup!$B$2:$B$11,MATCH(B90,Lookup!$A$2:$A$11,0))</f>
        <v/>
      </c>
      <c r="D90" s="99" t="inlineStr">
        <is>
          <t>BP039</t>
        </is>
      </c>
      <c r="E90" s="99">
        <f>INDEX(Lookup!$E$2:$E$51,MATCH(D90,Lookup!$D$2:$D$51,0))</f>
        <v/>
      </c>
      <c r="F90" s="99">
        <f>INDEX(Lookup!$F$2:$F$51,MATCH(D90,Lookup!$D$2:$D$51,0))</f>
        <v/>
      </c>
      <c r="G90" s="100" t="n">
        <v>150</v>
      </c>
      <c r="H90" s="100" t="n">
        <v>60</v>
      </c>
      <c r="I90" s="100" t="n">
        <v>56</v>
      </c>
      <c r="J90" s="100" t="n">
        <v>8</v>
      </c>
      <c r="K90" s="100" t="n">
        <v>33</v>
      </c>
      <c r="L90" s="100" t="n">
        <v>2</v>
      </c>
      <c r="M90" s="100" t="n">
        <v>146</v>
      </c>
      <c r="N90" s="99" t="inlineStr">
        <is>
          <t>Healthy</t>
        </is>
      </c>
      <c r="O90" s="100">
        <f>G90+H90</f>
        <v/>
      </c>
      <c r="P90" s="100">
        <f>G90+H90-I90-J90</f>
        <v/>
      </c>
      <c r="Q90" s="100">
        <f>MAX(0,P90)</f>
        <v/>
      </c>
      <c r="R90" s="100">
        <f>MAX(0,-P90)</f>
        <v/>
      </c>
      <c r="S90" s="101">
        <f>IFERROR(J90/O90,0)</f>
        <v/>
      </c>
      <c r="T90" s="101">
        <f>IFERROR(I90/O90,0)</f>
        <v/>
      </c>
      <c r="U90" s="102">
        <f>IF(P90&lt;=K90,"Reorder Required","Stock Sufficient")</f>
        <v/>
      </c>
      <c r="V90" s="102">
        <f>IF(AND(Q90=M90,(U90="Reorder Required")=(N90="Reorder Required")),"OK","Mismatch")</f>
        <v/>
      </c>
      <c r="W90" s="99" t="n"/>
    </row>
    <row r="91">
      <c r="A91" s="99" t="inlineStr">
        <is>
          <t>INV00090</t>
        </is>
      </c>
      <c r="B91" s="99" t="inlineStr">
        <is>
          <t>OUT002</t>
        </is>
      </c>
      <c r="C91" s="99">
        <f>INDEX(Lookup!$B$2:$B$11,MATCH(B91,Lookup!$A$2:$A$11,0))</f>
        <v/>
      </c>
      <c r="D91" s="99" t="inlineStr">
        <is>
          <t>BP040</t>
        </is>
      </c>
      <c r="E91" s="99">
        <f>INDEX(Lookup!$E$2:$E$51,MATCH(D91,Lookup!$D$2:$D$51,0))</f>
        <v/>
      </c>
      <c r="F91" s="99">
        <f>INDEX(Lookup!$F$2:$F$51,MATCH(D91,Lookup!$D$2:$D$51,0))</f>
        <v/>
      </c>
      <c r="G91" s="100" t="n">
        <v>143</v>
      </c>
      <c r="H91" s="100" t="n">
        <v>82</v>
      </c>
      <c r="I91" s="100" t="n">
        <v>87</v>
      </c>
      <c r="J91" s="100" t="n">
        <v>7</v>
      </c>
      <c r="K91" s="100" t="n">
        <v>19</v>
      </c>
      <c r="L91" s="100" t="n">
        <v>1</v>
      </c>
      <c r="M91" s="100" t="n">
        <v>131</v>
      </c>
      <c r="N91" s="99" t="inlineStr">
        <is>
          <t>Healthy</t>
        </is>
      </c>
      <c r="O91" s="100">
        <f>G91+H91</f>
        <v/>
      </c>
      <c r="P91" s="100">
        <f>G91+H91-I91-J91</f>
        <v/>
      </c>
      <c r="Q91" s="100">
        <f>MAX(0,P91)</f>
        <v/>
      </c>
      <c r="R91" s="100">
        <f>MAX(0,-P91)</f>
        <v/>
      </c>
      <c r="S91" s="101">
        <f>IFERROR(J91/O91,0)</f>
        <v/>
      </c>
      <c r="T91" s="101">
        <f>IFERROR(I91/O91,0)</f>
        <v/>
      </c>
      <c r="U91" s="102">
        <f>IF(P91&lt;=K91,"Reorder Required","Stock Sufficient")</f>
        <v/>
      </c>
      <c r="V91" s="102">
        <f>IF(AND(Q91=M91,(U91="Reorder Required")=(N91="Reorder Required")),"OK","Mismatch")</f>
        <v/>
      </c>
      <c r="W91" s="99" t="n"/>
    </row>
    <row r="92">
      <c r="A92" s="99" t="inlineStr">
        <is>
          <t>INV00091</t>
        </is>
      </c>
      <c r="B92" s="99" t="inlineStr">
        <is>
          <t>OUT002</t>
        </is>
      </c>
      <c r="C92" s="99">
        <f>INDEX(Lookup!$B$2:$B$11,MATCH(B92,Lookup!$A$2:$A$11,0))</f>
        <v/>
      </c>
      <c r="D92" s="99" t="inlineStr">
        <is>
          <t>BP041</t>
        </is>
      </c>
      <c r="E92" s="99">
        <f>INDEX(Lookup!$E$2:$E$51,MATCH(D92,Lookup!$D$2:$D$51,0))</f>
        <v/>
      </c>
      <c r="F92" s="99">
        <f>INDEX(Lookup!$F$2:$F$51,MATCH(D92,Lookup!$D$2:$D$51,0))</f>
        <v/>
      </c>
      <c r="G92" s="100" t="n">
        <v>123</v>
      </c>
      <c r="H92" s="100" t="n">
        <v>85</v>
      </c>
      <c r="I92" s="100" t="n">
        <v>50</v>
      </c>
      <c r="J92" s="100" t="n">
        <v>1</v>
      </c>
      <c r="K92" s="100" t="n">
        <v>20</v>
      </c>
      <c r="L92" s="100" t="n">
        <v>3</v>
      </c>
      <c r="M92" s="100" t="n">
        <v>157</v>
      </c>
      <c r="N92" s="99" t="inlineStr">
        <is>
          <t>Healthy</t>
        </is>
      </c>
      <c r="O92" s="100">
        <f>G92+H92</f>
        <v/>
      </c>
      <c r="P92" s="100">
        <f>G92+H92-I92-J92</f>
        <v/>
      </c>
      <c r="Q92" s="100">
        <f>MAX(0,P92)</f>
        <v/>
      </c>
      <c r="R92" s="100">
        <f>MAX(0,-P92)</f>
        <v/>
      </c>
      <c r="S92" s="101">
        <f>IFERROR(J92/O92,0)</f>
        <v/>
      </c>
      <c r="T92" s="101">
        <f>IFERROR(I92/O92,0)</f>
        <v/>
      </c>
      <c r="U92" s="102">
        <f>IF(P92&lt;=K92,"Reorder Required","Stock Sufficient")</f>
        <v/>
      </c>
      <c r="V92" s="102">
        <f>IF(AND(Q92=M92,(U92="Reorder Required")=(N92="Reorder Required")),"OK","Mismatch")</f>
        <v/>
      </c>
      <c r="W92" s="99" t="n"/>
    </row>
    <row r="93">
      <c r="A93" s="99" t="inlineStr">
        <is>
          <t>INV00092</t>
        </is>
      </c>
      <c r="B93" s="99" t="inlineStr">
        <is>
          <t>OUT002</t>
        </is>
      </c>
      <c r="C93" s="99">
        <f>INDEX(Lookup!$B$2:$B$11,MATCH(B93,Lookup!$A$2:$A$11,0))</f>
        <v/>
      </c>
      <c r="D93" s="99" t="inlineStr">
        <is>
          <t>BP042</t>
        </is>
      </c>
      <c r="E93" s="99">
        <f>INDEX(Lookup!$E$2:$E$51,MATCH(D93,Lookup!$D$2:$D$51,0))</f>
        <v/>
      </c>
      <c r="F93" s="99">
        <f>INDEX(Lookup!$F$2:$F$51,MATCH(D93,Lookup!$D$2:$D$51,0))</f>
        <v/>
      </c>
      <c r="G93" s="100" t="n">
        <v>122</v>
      </c>
      <c r="H93" s="100" t="n">
        <v>75</v>
      </c>
      <c r="I93" s="100" t="n">
        <v>60</v>
      </c>
      <c r="J93" s="100" t="n">
        <v>3</v>
      </c>
      <c r="K93" s="100" t="n">
        <v>35</v>
      </c>
      <c r="L93" s="100" t="n">
        <v>3</v>
      </c>
      <c r="M93" s="100" t="n">
        <v>134</v>
      </c>
      <c r="N93" s="99" t="inlineStr">
        <is>
          <t>Healthy</t>
        </is>
      </c>
      <c r="O93" s="100">
        <f>G93+H93</f>
        <v/>
      </c>
      <c r="P93" s="100">
        <f>G93+H93-I93-J93</f>
        <v/>
      </c>
      <c r="Q93" s="100">
        <f>MAX(0,P93)</f>
        <v/>
      </c>
      <c r="R93" s="100">
        <f>MAX(0,-P93)</f>
        <v/>
      </c>
      <c r="S93" s="101">
        <f>IFERROR(J93/O93,0)</f>
        <v/>
      </c>
      <c r="T93" s="101">
        <f>IFERROR(I93/O93,0)</f>
        <v/>
      </c>
      <c r="U93" s="102">
        <f>IF(P93&lt;=K93,"Reorder Required","Stock Sufficient")</f>
        <v/>
      </c>
      <c r="V93" s="102">
        <f>IF(AND(Q93=M93,(U93="Reorder Required")=(N93="Reorder Required")),"OK","Mismatch")</f>
        <v/>
      </c>
      <c r="W93" s="99" t="n"/>
    </row>
    <row r="94">
      <c r="A94" s="99" t="inlineStr">
        <is>
          <t>INV00093</t>
        </is>
      </c>
      <c r="B94" s="99" t="inlineStr">
        <is>
          <t>OUT002</t>
        </is>
      </c>
      <c r="C94" s="99">
        <f>INDEX(Lookup!$B$2:$B$11,MATCH(B94,Lookup!$A$2:$A$11,0))</f>
        <v/>
      </c>
      <c r="D94" s="99" t="inlineStr">
        <is>
          <t>BP043</t>
        </is>
      </c>
      <c r="E94" s="99">
        <f>INDEX(Lookup!$E$2:$E$51,MATCH(D94,Lookup!$D$2:$D$51,0))</f>
        <v/>
      </c>
      <c r="F94" s="99">
        <f>INDEX(Lookup!$F$2:$F$51,MATCH(D94,Lookup!$D$2:$D$51,0))</f>
        <v/>
      </c>
      <c r="G94" s="100" t="n">
        <v>85</v>
      </c>
      <c r="H94" s="100" t="n">
        <v>76</v>
      </c>
      <c r="I94" s="100" t="n">
        <v>73</v>
      </c>
      <c r="J94" s="100" t="n">
        <v>0</v>
      </c>
      <c r="K94" s="100" t="n">
        <v>36</v>
      </c>
      <c r="L94" s="100" t="n">
        <v>4</v>
      </c>
      <c r="M94" s="100" t="n">
        <v>88</v>
      </c>
      <c r="N94" s="99" t="inlineStr">
        <is>
          <t>Healthy</t>
        </is>
      </c>
      <c r="O94" s="100">
        <f>G94+H94</f>
        <v/>
      </c>
      <c r="P94" s="100">
        <f>G94+H94-I94-J94</f>
        <v/>
      </c>
      <c r="Q94" s="100">
        <f>MAX(0,P94)</f>
        <v/>
      </c>
      <c r="R94" s="100">
        <f>MAX(0,-P94)</f>
        <v/>
      </c>
      <c r="S94" s="101">
        <f>IFERROR(J94/O94,0)</f>
        <v/>
      </c>
      <c r="T94" s="101">
        <f>IFERROR(I94/O94,0)</f>
        <v/>
      </c>
      <c r="U94" s="102">
        <f>IF(P94&lt;=K94,"Reorder Required","Stock Sufficient")</f>
        <v/>
      </c>
      <c r="V94" s="102">
        <f>IF(AND(Q94=M94,(U94="Reorder Required")=(N94="Reorder Required")),"OK","Mismatch")</f>
        <v/>
      </c>
      <c r="W94" s="99" t="n"/>
    </row>
    <row r="95">
      <c r="A95" s="99" t="inlineStr">
        <is>
          <t>INV00094</t>
        </is>
      </c>
      <c r="B95" s="99" t="inlineStr">
        <is>
          <t>OUT002</t>
        </is>
      </c>
      <c r="C95" s="99">
        <f>INDEX(Lookup!$B$2:$B$11,MATCH(B95,Lookup!$A$2:$A$11,0))</f>
        <v/>
      </c>
      <c r="D95" s="99" t="inlineStr">
        <is>
          <t>BP044</t>
        </is>
      </c>
      <c r="E95" s="99">
        <f>INDEX(Lookup!$E$2:$E$51,MATCH(D95,Lookup!$D$2:$D$51,0))</f>
        <v/>
      </c>
      <c r="F95" s="99">
        <f>INDEX(Lookup!$F$2:$F$51,MATCH(D95,Lookup!$D$2:$D$51,0))</f>
        <v/>
      </c>
      <c r="G95" s="100" t="n">
        <v>74</v>
      </c>
      <c r="H95" s="100" t="n">
        <v>65</v>
      </c>
      <c r="I95" s="100" t="n">
        <v>49</v>
      </c>
      <c r="J95" s="100" t="n">
        <v>1</v>
      </c>
      <c r="K95" s="100" t="n">
        <v>34</v>
      </c>
      <c r="L95" s="100" t="n">
        <v>2</v>
      </c>
      <c r="M95" s="100" t="n">
        <v>89</v>
      </c>
      <c r="N95" s="99" t="inlineStr">
        <is>
          <t>Healthy</t>
        </is>
      </c>
      <c r="O95" s="100">
        <f>G95+H95</f>
        <v/>
      </c>
      <c r="P95" s="100">
        <f>G95+H95-I95-J95</f>
        <v/>
      </c>
      <c r="Q95" s="100">
        <f>MAX(0,P95)</f>
        <v/>
      </c>
      <c r="R95" s="100">
        <f>MAX(0,-P95)</f>
        <v/>
      </c>
      <c r="S95" s="101">
        <f>IFERROR(J95/O95,0)</f>
        <v/>
      </c>
      <c r="T95" s="101">
        <f>IFERROR(I95/O95,0)</f>
        <v/>
      </c>
      <c r="U95" s="102">
        <f>IF(P95&lt;=K95,"Reorder Required","Stock Sufficient")</f>
        <v/>
      </c>
      <c r="V95" s="102">
        <f>IF(AND(Q95=M95,(U95="Reorder Required")=(N95="Reorder Required")),"OK","Mismatch")</f>
        <v/>
      </c>
      <c r="W95" s="99" t="n"/>
    </row>
    <row r="96">
      <c r="A96" s="99" t="inlineStr">
        <is>
          <t>INV00095</t>
        </is>
      </c>
      <c r="B96" s="99" t="inlineStr">
        <is>
          <t>OUT002</t>
        </is>
      </c>
      <c r="C96" s="99">
        <f>INDEX(Lookup!$B$2:$B$11,MATCH(B96,Lookup!$A$2:$A$11,0))</f>
        <v/>
      </c>
      <c r="D96" s="99" t="inlineStr">
        <is>
          <t>BP045</t>
        </is>
      </c>
      <c r="E96" s="99">
        <f>INDEX(Lookup!$E$2:$E$51,MATCH(D96,Lookup!$D$2:$D$51,0))</f>
        <v/>
      </c>
      <c r="F96" s="99">
        <f>INDEX(Lookup!$F$2:$F$51,MATCH(D96,Lookup!$D$2:$D$51,0))</f>
        <v/>
      </c>
      <c r="G96" s="100" t="n">
        <v>58</v>
      </c>
      <c r="H96" s="100" t="n">
        <v>63</v>
      </c>
      <c r="I96" s="100" t="n">
        <v>67</v>
      </c>
      <c r="J96" s="100" t="n">
        <v>1</v>
      </c>
      <c r="K96" s="100" t="n">
        <v>22</v>
      </c>
      <c r="L96" s="100" t="n">
        <v>1</v>
      </c>
      <c r="M96" s="100" t="n">
        <v>53</v>
      </c>
      <c r="N96" s="99" t="inlineStr">
        <is>
          <t>Healthy</t>
        </is>
      </c>
      <c r="O96" s="100">
        <f>G96+H96</f>
        <v/>
      </c>
      <c r="P96" s="100">
        <f>G96+H96-I96-J96</f>
        <v/>
      </c>
      <c r="Q96" s="100">
        <f>MAX(0,P96)</f>
        <v/>
      </c>
      <c r="R96" s="100">
        <f>MAX(0,-P96)</f>
        <v/>
      </c>
      <c r="S96" s="101">
        <f>IFERROR(J96/O96,0)</f>
        <v/>
      </c>
      <c r="T96" s="101">
        <f>IFERROR(I96/O96,0)</f>
        <v/>
      </c>
      <c r="U96" s="102">
        <f>IF(P96&lt;=K96,"Reorder Required","Stock Sufficient")</f>
        <v/>
      </c>
      <c r="V96" s="102">
        <f>IF(AND(Q96=M96,(U96="Reorder Required")=(N96="Reorder Required")),"OK","Mismatch")</f>
        <v/>
      </c>
      <c r="W96" s="99" t="n"/>
    </row>
    <row r="97">
      <c r="A97" s="99" t="inlineStr">
        <is>
          <t>INV00096</t>
        </is>
      </c>
      <c r="B97" s="99" t="inlineStr">
        <is>
          <t>OUT002</t>
        </is>
      </c>
      <c r="C97" s="99">
        <f>INDEX(Lookup!$B$2:$B$11,MATCH(B97,Lookup!$A$2:$A$11,0))</f>
        <v/>
      </c>
      <c r="D97" s="99" t="inlineStr">
        <is>
          <t>BP046</t>
        </is>
      </c>
      <c r="E97" s="99">
        <f>INDEX(Lookup!$E$2:$E$51,MATCH(D97,Lookup!$D$2:$D$51,0))</f>
        <v/>
      </c>
      <c r="F97" s="99">
        <f>INDEX(Lookup!$F$2:$F$51,MATCH(D97,Lookup!$D$2:$D$51,0))</f>
        <v/>
      </c>
      <c r="G97" s="100" t="n">
        <v>148</v>
      </c>
      <c r="H97" s="100" t="n">
        <v>24</v>
      </c>
      <c r="I97" s="100" t="n">
        <v>93</v>
      </c>
      <c r="J97" s="100" t="n">
        <v>2</v>
      </c>
      <c r="K97" s="100" t="n">
        <v>32</v>
      </c>
      <c r="L97" s="100" t="n">
        <v>2</v>
      </c>
      <c r="M97" s="100" t="n">
        <v>77</v>
      </c>
      <c r="N97" s="99" t="inlineStr">
        <is>
          <t>Healthy</t>
        </is>
      </c>
      <c r="O97" s="100">
        <f>G97+H97</f>
        <v/>
      </c>
      <c r="P97" s="100">
        <f>G97+H97-I97-J97</f>
        <v/>
      </c>
      <c r="Q97" s="100">
        <f>MAX(0,P97)</f>
        <v/>
      </c>
      <c r="R97" s="100">
        <f>MAX(0,-P97)</f>
        <v/>
      </c>
      <c r="S97" s="101">
        <f>IFERROR(J97/O97,0)</f>
        <v/>
      </c>
      <c r="T97" s="101">
        <f>IFERROR(I97/O97,0)</f>
        <v/>
      </c>
      <c r="U97" s="102">
        <f>IF(P97&lt;=K97,"Reorder Required","Stock Sufficient")</f>
        <v/>
      </c>
      <c r="V97" s="102">
        <f>IF(AND(Q97=M97,(U97="Reorder Required")=(N97="Reorder Required")),"OK","Mismatch")</f>
        <v/>
      </c>
      <c r="W97" s="99" t="n"/>
    </row>
    <row r="98">
      <c r="A98" s="99" t="inlineStr">
        <is>
          <t>INV00097</t>
        </is>
      </c>
      <c r="B98" s="99" t="inlineStr">
        <is>
          <t>OUT002</t>
        </is>
      </c>
      <c r="C98" s="99">
        <f>INDEX(Lookup!$B$2:$B$11,MATCH(B98,Lookup!$A$2:$A$11,0))</f>
        <v/>
      </c>
      <c r="D98" s="99" t="inlineStr">
        <is>
          <t>BP047</t>
        </is>
      </c>
      <c r="E98" s="99">
        <f>INDEX(Lookup!$E$2:$E$51,MATCH(D98,Lookup!$D$2:$D$51,0))</f>
        <v/>
      </c>
      <c r="F98" s="99">
        <f>INDEX(Lookup!$F$2:$F$51,MATCH(D98,Lookup!$D$2:$D$51,0))</f>
        <v/>
      </c>
      <c r="G98" s="100" t="n">
        <v>135</v>
      </c>
      <c r="H98" s="100" t="n">
        <v>93</v>
      </c>
      <c r="I98" s="100" t="n">
        <v>65</v>
      </c>
      <c r="J98" s="100" t="n">
        <v>1</v>
      </c>
      <c r="K98" s="100" t="n">
        <v>31</v>
      </c>
      <c r="L98" s="100" t="n">
        <v>1</v>
      </c>
      <c r="M98" s="100" t="n">
        <v>162</v>
      </c>
      <c r="N98" s="99" t="inlineStr">
        <is>
          <t>Healthy</t>
        </is>
      </c>
      <c r="O98" s="100">
        <f>G98+H98</f>
        <v/>
      </c>
      <c r="P98" s="100">
        <f>G98+H98-I98-J98</f>
        <v/>
      </c>
      <c r="Q98" s="100">
        <f>MAX(0,P98)</f>
        <v/>
      </c>
      <c r="R98" s="100">
        <f>MAX(0,-P98)</f>
        <v/>
      </c>
      <c r="S98" s="101">
        <f>IFERROR(J98/O98,0)</f>
        <v/>
      </c>
      <c r="T98" s="101">
        <f>IFERROR(I98/O98,0)</f>
        <v/>
      </c>
      <c r="U98" s="102">
        <f>IF(P98&lt;=K98,"Reorder Required","Stock Sufficient")</f>
        <v/>
      </c>
      <c r="V98" s="102">
        <f>IF(AND(Q98=M98,(U98="Reorder Required")=(N98="Reorder Required")),"OK","Mismatch")</f>
        <v/>
      </c>
      <c r="W98" s="99" t="n"/>
    </row>
    <row r="99">
      <c r="A99" s="99" t="inlineStr">
        <is>
          <t>INV00098</t>
        </is>
      </c>
      <c r="B99" s="99" t="inlineStr">
        <is>
          <t>OUT002</t>
        </is>
      </c>
      <c r="C99" s="99">
        <f>INDEX(Lookup!$B$2:$B$11,MATCH(B99,Lookup!$A$2:$A$11,0))</f>
        <v/>
      </c>
      <c r="D99" s="99" t="inlineStr">
        <is>
          <t>BP048</t>
        </is>
      </c>
      <c r="E99" s="99">
        <f>INDEX(Lookup!$E$2:$E$51,MATCH(D99,Lookup!$D$2:$D$51,0))</f>
        <v/>
      </c>
      <c r="F99" s="99">
        <f>INDEX(Lookup!$F$2:$F$51,MATCH(D99,Lookup!$D$2:$D$51,0))</f>
        <v/>
      </c>
      <c r="G99" s="100" t="n">
        <v>61</v>
      </c>
      <c r="H99" s="100" t="n">
        <v>26</v>
      </c>
      <c r="I99" s="100" t="n">
        <v>78</v>
      </c>
      <c r="J99" s="100" t="n">
        <v>3</v>
      </c>
      <c r="K99" s="100" t="n">
        <v>35</v>
      </c>
      <c r="L99" s="100" t="n">
        <v>1</v>
      </c>
      <c r="M99" s="100" t="n">
        <v>6</v>
      </c>
      <c r="N99" s="99" t="inlineStr">
        <is>
          <t>Reorder Required</t>
        </is>
      </c>
      <c r="O99" s="100">
        <f>G99+H99</f>
        <v/>
      </c>
      <c r="P99" s="100">
        <f>G99+H99-I99-J99</f>
        <v/>
      </c>
      <c r="Q99" s="100">
        <f>MAX(0,P99)</f>
        <v/>
      </c>
      <c r="R99" s="100">
        <f>MAX(0,-P99)</f>
        <v/>
      </c>
      <c r="S99" s="101">
        <f>IFERROR(J99/O99,0)</f>
        <v/>
      </c>
      <c r="T99" s="101">
        <f>IFERROR(I99/O99,0)</f>
        <v/>
      </c>
      <c r="U99" s="102">
        <f>IF(P99&lt;=K99,"Reorder Required","Stock Sufficient")</f>
        <v/>
      </c>
      <c r="V99" s="102">
        <f>IF(AND(Q99=M99,(U99="Reorder Required")=(N99="Reorder Required")),"OK","Mismatch")</f>
        <v/>
      </c>
      <c r="W99" s="99" t="inlineStr">
        <is>
          <t>Restock immediately</t>
        </is>
      </c>
    </row>
    <row r="100">
      <c r="A100" s="99" t="inlineStr">
        <is>
          <t>INV00099</t>
        </is>
      </c>
      <c r="B100" s="99" t="inlineStr">
        <is>
          <t>OUT002</t>
        </is>
      </c>
      <c r="C100" s="99">
        <f>INDEX(Lookup!$B$2:$B$11,MATCH(B100,Lookup!$A$2:$A$11,0))</f>
        <v/>
      </c>
      <c r="D100" s="99" t="inlineStr">
        <is>
          <t>BP049</t>
        </is>
      </c>
      <c r="E100" s="99">
        <f>INDEX(Lookup!$E$2:$E$51,MATCH(D100,Lookup!$D$2:$D$51,0))</f>
        <v/>
      </c>
      <c r="F100" s="99">
        <f>INDEX(Lookup!$F$2:$F$51,MATCH(D100,Lookup!$D$2:$D$51,0))</f>
        <v/>
      </c>
      <c r="G100" s="100" t="n">
        <v>128</v>
      </c>
      <c r="H100" s="100" t="n">
        <v>38</v>
      </c>
      <c r="I100" s="100" t="n">
        <v>99</v>
      </c>
      <c r="J100" s="100" t="n">
        <v>1</v>
      </c>
      <c r="K100" s="100" t="n">
        <v>29</v>
      </c>
      <c r="L100" s="100" t="n">
        <v>2</v>
      </c>
      <c r="M100" s="100" t="n">
        <v>66</v>
      </c>
      <c r="N100" s="99" t="inlineStr">
        <is>
          <t>Healthy</t>
        </is>
      </c>
      <c r="O100" s="100">
        <f>G100+H100</f>
        <v/>
      </c>
      <c r="P100" s="100">
        <f>G100+H100-I100-J100</f>
        <v/>
      </c>
      <c r="Q100" s="100">
        <f>MAX(0,P100)</f>
        <v/>
      </c>
      <c r="R100" s="100">
        <f>MAX(0,-P100)</f>
        <v/>
      </c>
      <c r="S100" s="101">
        <f>IFERROR(J100/O100,0)</f>
        <v/>
      </c>
      <c r="T100" s="101">
        <f>IFERROR(I100/O100,0)</f>
        <v/>
      </c>
      <c r="U100" s="102">
        <f>IF(P100&lt;=K100,"Reorder Required","Stock Sufficient")</f>
        <v/>
      </c>
      <c r="V100" s="102">
        <f>IF(AND(Q100=M100,(U100="Reorder Required")=(N100="Reorder Required")),"OK","Mismatch")</f>
        <v/>
      </c>
      <c r="W100" s="99" t="n"/>
    </row>
    <row r="101">
      <c r="A101" s="99" t="inlineStr">
        <is>
          <t>INV00100</t>
        </is>
      </c>
      <c r="B101" s="99" t="inlineStr">
        <is>
          <t>OUT002</t>
        </is>
      </c>
      <c r="C101" s="99">
        <f>INDEX(Lookup!$B$2:$B$11,MATCH(B101,Lookup!$A$2:$A$11,0))</f>
        <v/>
      </c>
      <c r="D101" s="99" t="inlineStr">
        <is>
          <t>BP050</t>
        </is>
      </c>
      <c r="E101" s="99">
        <f>INDEX(Lookup!$E$2:$E$51,MATCH(D101,Lookup!$D$2:$D$51,0))</f>
        <v/>
      </c>
      <c r="F101" s="99">
        <f>INDEX(Lookup!$F$2:$F$51,MATCH(D101,Lookup!$D$2:$D$51,0))</f>
        <v/>
      </c>
      <c r="G101" s="100" t="n">
        <v>69</v>
      </c>
      <c r="H101" s="100" t="n">
        <v>24</v>
      </c>
      <c r="I101" s="100" t="n">
        <v>84</v>
      </c>
      <c r="J101" s="100" t="n">
        <v>3</v>
      </c>
      <c r="K101" s="100" t="n">
        <v>19</v>
      </c>
      <c r="L101" s="100" t="n">
        <v>4</v>
      </c>
      <c r="M101" s="100" t="n">
        <v>6</v>
      </c>
      <c r="N101" s="99" t="inlineStr">
        <is>
          <t>Reorder Required</t>
        </is>
      </c>
      <c r="O101" s="100">
        <f>G101+H101</f>
        <v/>
      </c>
      <c r="P101" s="100">
        <f>G101+H101-I101-J101</f>
        <v/>
      </c>
      <c r="Q101" s="100">
        <f>MAX(0,P101)</f>
        <v/>
      </c>
      <c r="R101" s="100">
        <f>MAX(0,-P101)</f>
        <v/>
      </c>
      <c r="S101" s="101">
        <f>IFERROR(J101/O101,0)</f>
        <v/>
      </c>
      <c r="T101" s="101">
        <f>IFERROR(I101/O101,0)</f>
        <v/>
      </c>
      <c r="U101" s="102">
        <f>IF(P101&lt;=K101,"Reorder Required","Stock Sufficient")</f>
        <v/>
      </c>
      <c r="V101" s="102">
        <f>IF(AND(Q101=M101,(U101="Reorder Required")=(N101="Reorder Required")),"OK","Mismatch")</f>
        <v/>
      </c>
      <c r="W101" s="99" t="inlineStr">
        <is>
          <t>Restock immediately</t>
        </is>
      </c>
    </row>
    <row r="102">
      <c r="A102" s="99" t="inlineStr">
        <is>
          <t>INV00101</t>
        </is>
      </c>
      <c r="B102" s="99" t="inlineStr">
        <is>
          <t>OUT003</t>
        </is>
      </c>
      <c r="C102" s="99">
        <f>INDEX(Lookup!$B$2:$B$11,MATCH(B102,Lookup!$A$2:$A$11,0))</f>
        <v/>
      </c>
      <c r="D102" s="99" t="inlineStr">
        <is>
          <t>BP001</t>
        </is>
      </c>
      <c r="E102" s="99">
        <f>INDEX(Lookup!$E$2:$E$51,MATCH(D102,Lookup!$D$2:$D$51,0))</f>
        <v/>
      </c>
      <c r="F102" s="99">
        <f>INDEX(Lookup!$F$2:$F$51,MATCH(D102,Lookup!$D$2:$D$51,0))</f>
        <v/>
      </c>
      <c r="G102" s="100" t="n">
        <v>104</v>
      </c>
      <c r="H102" s="100" t="n">
        <v>32</v>
      </c>
      <c r="I102" s="100" t="n">
        <v>129</v>
      </c>
      <c r="J102" s="100" t="n">
        <v>1</v>
      </c>
      <c r="K102" s="100" t="n">
        <v>22</v>
      </c>
      <c r="L102" s="100" t="n">
        <v>5</v>
      </c>
      <c r="M102" s="100" t="n">
        <v>6</v>
      </c>
      <c r="N102" s="99" t="inlineStr">
        <is>
          <t>Reorder Required</t>
        </is>
      </c>
      <c r="O102" s="100">
        <f>G102+H102</f>
        <v/>
      </c>
      <c r="P102" s="100">
        <f>G102+H102-I102-J102</f>
        <v/>
      </c>
      <c r="Q102" s="100">
        <f>MAX(0,P102)</f>
        <v/>
      </c>
      <c r="R102" s="100">
        <f>MAX(0,-P102)</f>
        <v/>
      </c>
      <c r="S102" s="101">
        <f>IFERROR(J102/O102,0)</f>
        <v/>
      </c>
      <c r="T102" s="101">
        <f>IFERROR(I102/O102,0)</f>
        <v/>
      </c>
      <c r="U102" s="102">
        <f>IF(P102&lt;=K102,"Reorder Required","Stock Sufficient")</f>
        <v/>
      </c>
      <c r="V102" s="102">
        <f>IF(AND(Q102=M102,(U102="Reorder Required")=(N102="Reorder Required")),"OK","Mismatch")</f>
        <v/>
      </c>
      <c r="W102" s="99" t="inlineStr">
        <is>
          <t>Restock immediately</t>
        </is>
      </c>
    </row>
    <row r="103">
      <c r="A103" s="99" t="inlineStr">
        <is>
          <t>INV00102</t>
        </is>
      </c>
      <c r="B103" s="99" t="inlineStr">
        <is>
          <t>OUT003</t>
        </is>
      </c>
      <c r="C103" s="99">
        <f>INDEX(Lookup!$B$2:$B$11,MATCH(B103,Lookup!$A$2:$A$11,0))</f>
        <v/>
      </c>
      <c r="D103" s="99" t="inlineStr">
        <is>
          <t>BP002</t>
        </is>
      </c>
      <c r="E103" s="99">
        <f>INDEX(Lookup!$E$2:$E$51,MATCH(D103,Lookup!$D$2:$D$51,0))</f>
        <v/>
      </c>
      <c r="F103" s="99">
        <f>INDEX(Lookup!$F$2:$F$51,MATCH(D103,Lookup!$D$2:$D$51,0))</f>
        <v/>
      </c>
      <c r="G103" s="100" t="n">
        <v>98</v>
      </c>
      <c r="H103" s="100" t="n">
        <v>26</v>
      </c>
      <c r="I103" s="100" t="n">
        <v>120</v>
      </c>
      <c r="J103" s="100" t="n">
        <v>1</v>
      </c>
      <c r="K103" s="100" t="n">
        <v>15</v>
      </c>
      <c r="L103" s="100" t="n">
        <v>4</v>
      </c>
      <c r="M103" s="100" t="n">
        <v>3</v>
      </c>
      <c r="N103" s="99" t="inlineStr">
        <is>
          <t>Reorder Required</t>
        </is>
      </c>
      <c r="O103" s="100">
        <f>G103+H103</f>
        <v/>
      </c>
      <c r="P103" s="100">
        <f>G103+H103-I103-J103</f>
        <v/>
      </c>
      <c r="Q103" s="100">
        <f>MAX(0,P103)</f>
        <v/>
      </c>
      <c r="R103" s="100">
        <f>MAX(0,-P103)</f>
        <v/>
      </c>
      <c r="S103" s="101">
        <f>IFERROR(J103/O103,0)</f>
        <v/>
      </c>
      <c r="T103" s="101">
        <f>IFERROR(I103/O103,0)</f>
        <v/>
      </c>
      <c r="U103" s="102">
        <f>IF(P103&lt;=K103,"Reorder Required","Stock Sufficient")</f>
        <v/>
      </c>
      <c r="V103" s="102">
        <f>IF(AND(Q103=M103,(U103="Reorder Required")=(N103="Reorder Required")),"OK","Mismatch")</f>
        <v/>
      </c>
      <c r="W103" s="99" t="inlineStr">
        <is>
          <t>Restock immediately</t>
        </is>
      </c>
    </row>
    <row r="104">
      <c r="A104" s="99" t="inlineStr">
        <is>
          <t>INV00103</t>
        </is>
      </c>
      <c r="B104" s="99" t="inlineStr">
        <is>
          <t>OUT003</t>
        </is>
      </c>
      <c r="C104" s="99">
        <f>INDEX(Lookup!$B$2:$B$11,MATCH(B104,Lookup!$A$2:$A$11,0))</f>
        <v/>
      </c>
      <c r="D104" s="99" t="inlineStr">
        <is>
          <t>BP003</t>
        </is>
      </c>
      <c r="E104" s="99">
        <f>INDEX(Lookup!$E$2:$E$51,MATCH(D104,Lookup!$D$2:$D$51,0))</f>
        <v/>
      </c>
      <c r="F104" s="99">
        <f>INDEX(Lookup!$F$2:$F$51,MATCH(D104,Lookup!$D$2:$D$51,0))</f>
        <v/>
      </c>
      <c r="G104" s="100" t="n">
        <v>83</v>
      </c>
      <c r="H104" s="100" t="n">
        <v>31</v>
      </c>
      <c r="I104" s="100" t="n">
        <v>136</v>
      </c>
      <c r="J104" s="100" t="n">
        <v>3</v>
      </c>
      <c r="K104" s="100" t="n">
        <v>15</v>
      </c>
      <c r="L104" s="100" t="n">
        <v>5</v>
      </c>
      <c r="M104" s="100" t="n">
        <v>0</v>
      </c>
      <c r="N104" s="99" t="inlineStr">
        <is>
          <t>Reorder Required</t>
        </is>
      </c>
      <c r="O104" s="100">
        <f>G104+H104</f>
        <v/>
      </c>
      <c r="P104" s="100">
        <f>G104+H104-I104-J104</f>
        <v/>
      </c>
      <c r="Q104" s="100">
        <f>MAX(0,P104)</f>
        <v/>
      </c>
      <c r="R104" s="100">
        <f>MAX(0,-P104)</f>
        <v/>
      </c>
      <c r="S104" s="101">
        <f>IFERROR(J104/O104,0)</f>
        <v/>
      </c>
      <c r="T104" s="101">
        <f>IFERROR(I104/O104,0)</f>
        <v/>
      </c>
      <c r="U104" s="102">
        <f>IF(P104&lt;=K104,"Reorder Required","Stock Sufficient")</f>
        <v/>
      </c>
      <c r="V104" s="102">
        <f>IF(AND(Q104=M104,(U104="Reorder Required")=(N104="Reorder Required")),"OK","Mismatch")</f>
        <v/>
      </c>
      <c r="W104" s="99" t="inlineStr">
        <is>
          <t>Restock immediately</t>
        </is>
      </c>
    </row>
    <row r="105">
      <c r="A105" s="99" t="inlineStr">
        <is>
          <t>INV00104</t>
        </is>
      </c>
      <c r="B105" s="99" t="inlineStr">
        <is>
          <t>OUT003</t>
        </is>
      </c>
      <c r="C105" s="99">
        <f>INDEX(Lookup!$B$2:$B$11,MATCH(B105,Lookup!$A$2:$A$11,0))</f>
        <v/>
      </c>
      <c r="D105" s="99" t="inlineStr">
        <is>
          <t>BP004</t>
        </is>
      </c>
      <c r="E105" s="99">
        <f>INDEX(Lookup!$E$2:$E$51,MATCH(D105,Lookup!$D$2:$D$51,0))</f>
        <v/>
      </c>
      <c r="F105" s="99">
        <f>INDEX(Lookup!$F$2:$F$51,MATCH(D105,Lookup!$D$2:$D$51,0))</f>
        <v/>
      </c>
      <c r="G105" s="100" t="n">
        <v>65</v>
      </c>
      <c r="H105" s="100" t="n">
        <v>49</v>
      </c>
      <c r="I105" s="100" t="n">
        <v>82</v>
      </c>
      <c r="J105" s="100" t="n">
        <v>2</v>
      </c>
      <c r="K105" s="100" t="n">
        <v>17</v>
      </c>
      <c r="L105" s="100" t="n">
        <v>3</v>
      </c>
      <c r="M105" s="100" t="n">
        <v>30</v>
      </c>
      <c r="N105" s="99" t="inlineStr">
        <is>
          <t>Healthy</t>
        </is>
      </c>
      <c r="O105" s="100">
        <f>G105+H105</f>
        <v/>
      </c>
      <c r="P105" s="100">
        <f>G105+H105-I105-J105</f>
        <v/>
      </c>
      <c r="Q105" s="100">
        <f>MAX(0,P105)</f>
        <v/>
      </c>
      <c r="R105" s="100">
        <f>MAX(0,-P105)</f>
        <v/>
      </c>
      <c r="S105" s="101">
        <f>IFERROR(J105/O105,0)</f>
        <v/>
      </c>
      <c r="T105" s="101">
        <f>IFERROR(I105/O105,0)</f>
        <v/>
      </c>
      <c r="U105" s="102">
        <f>IF(P105&lt;=K105,"Reorder Required","Stock Sufficient")</f>
        <v/>
      </c>
      <c r="V105" s="102">
        <f>IF(AND(Q105=M105,(U105="Reorder Required")=(N105="Reorder Required")),"OK","Mismatch")</f>
        <v/>
      </c>
      <c r="W105" s="99" t="n"/>
    </row>
    <row r="106">
      <c r="A106" s="99" t="inlineStr">
        <is>
          <t>INV00105</t>
        </is>
      </c>
      <c r="B106" s="99" t="inlineStr">
        <is>
          <t>OUT003</t>
        </is>
      </c>
      <c r="C106" s="99">
        <f>INDEX(Lookup!$B$2:$B$11,MATCH(B106,Lookup!$A$2:$A$11,0))</f>
        <v/>
      </c>
      <c r="D106" s="99" t="inlineStr">
        <is>
          <t>BP005</t>
        </is>
      </c>
      <c r="E106" s="99">
        <f>INDEX(Lookup!$E$2:$E$51,MATCH(D106,Lookup!$D$2:$D$51,0))</f>
        <v/>
      </c>
      <c r="F106" s="99">
        <f>INDEX(Lookup!$F$2:$F$51,MATCH(D106,Lookup!$D$2:$D$51,0))</f>
        <v/>
      </c>
      <c r="G106" s="100" t="n">
        <v>71</v>
      </c>
      <c r="H106" s="100" t="n">
        <v>46</v>
      </c>
      <c r="I106" s="100" t="n">
        <v>124</v>
      </c>
      <c r="J106" s="100" t="n">
        <v>0</v>
      </c>
      <c r="K106" s="100" t="n">
        <v>31</v>
      </c>
      <c r="L106" s="100" t="n">
        <v>1</v>
      </c>
      <c r="M106" s="100" t="n">
        <v>0</v>
      </c>
      <c r="N106" s="99" t="inlineStr">
        <is>
          <t>Reorder Required</t>
        </is>
      </c>
      <c r="O106" s="100">
        <f>G106+H106</f>
        <v/>
      </c>
      <c r="P106" s="100">
        <f>G106+H106-I106-J106</f>
        <v/>
      </c>
      <c r="Q106" s="100">
        <f>MAX(0,P106)</f>
        <v/>
      </c>
      <c r="R106" s="100">
        <f>MAX(0,-P106)</f>
        <v/>
      </c>
      <c r="S106" s="101">
        <f>IFERROR(J106/O106,0)</f>
        <v/>
      </c>
      <c r="T106" s="101">
        <f>IFERROR(I106/O106,0)</f>
        <v/>
      </c>
      <c r="U106" s="102">
        <f>IF(P106&lt;=K106,"Reorder Required","Stock Sufficient")</f>
        <v/>
      </c>
      <c r="V106" s="102">
        <f>IF(AND(Q106=M106,(U106="Reorder Required")=(N106="Reorder Required")),"OK","Mismatch")</f>
        <v/>
      </c>
      <c r="W106" s="99" t="inlineStr">
        <is>
          <t>Restock immediately</t>
        </is>
      </c>
    </row>
    <row r="107">
      <c r="A107" s="99" t="inlineStr">
        <is>
          <t>INV00106</t>
        </is>
      </c>
      <c r="B107" s="99" t="inlineStr">
        <is>
          <t>OUT003</t>
        </is>
      </c>
      <c r="C107" s="99">
        <f>INDEX(Lookup!$B$2:$B$11,MATCH(B107,Lookup!$A$2:$A$11,0))</f>
        <v/>
      </c>
      <c r="D107" s="99" t="inlineStr">
        <is>
          <t>BP006</t>
        </is>
      </c>
      <c r="E107" s="99">
        <f>INDEX(Lookup!$E$2:$E$51,MATCH(D107,Lookup!$D$2:$D$51,0))</f>
        <v/>
      </c>
      <c r="F107" s="99">
        <f>INDEX(Lookup!$F$2:$F$51,MATCH(D107,Lookup!$D$2:$D$51,0))</f>
        <v/>
      </c>
      <c r="G107" s="100" t="n">
        <v>126</v>
      </c>
      <c r="H107" s="100" t="n">
        <v>42</v>
      </c>
      <c r="I107" s="100" t="n">
        <v>77</v>
      </c>
      <c r="J107" s="100" t="n">
        <v>0</v>
      </c>
      <c r="K107" s="100" t="n">
        <v>28</v>
      </c>
      <c r="L107" s="100" t="n">
        <v>1</v>
      </c>
      <c r="M107" s="100" t="n">
        <v>91</v>
      </c>
      <c r="N107" s="99" t="inlineStr">
        <is>
          <t>Healthy</t>
        </is>
      </c>
      <c r="O107" s="100">
        <f>G107+H107</f>
        <v/>
      </c>
      <c r="P107" s="100">
        <f>G107+H107-I107-J107</f>
        <v/>
      </c>
      <c r="Q107" s="100">
        <f>MAX(0,P107)</f>
        <v/>
      </c>
      <c r="R107" s="100">
        <f>MAX(0,-P107)</f>
        <v/>
      </c>
      <c r="S107" s="101">
        <f>IFERROR(J107/O107,0)</f>
        <v/>
      </c>
      <c r="T107" s="101">
        <f>IFERROR(I107/O107,0)</f>
        <v/>
      </c>
      <c r="U107" s="102">
        <f>IF(P107&lt;=K107,"Reorder Required","Stock Sufficient")</f>
        <v/>
      </c>
      <c r="V107" s="102">
        <f>IF(AND(Q107=M107,(U107="Reorder Required")=(N107="Reorder Required")),"OK","Mismatch")</f>
        <v/>
      </c>
      <c r="W107" s="99" t="n"/>
    </row>
    <row r="108">
      <c r="A108" s="99" t="inlineStr">
        <is>
          <t>INV00107</t>
        </is>
      </c>
      <c r="B108" s="99" t="inlineStr">
        <is>
          <t>OUT003</t>
        </is>
      </c>
      <c r="C108" s="99">
        <f>INDEX(Lookup!$B$2:$B$11,MATCH(B108,Lookup!$A$2:$A$11,0))</f>
        <v/>
      </c>
      <c r="D108" s="99" t="inlineStr">
        <is>
          <t>BP007</t>
        </is>
      </c>
      <c r="E108" s="99">
        <f>INDEX(Lookup!$E$2:$E$51,MATCH(D108,Lookup!$D$2:$D$51,0))</f>
        <v/>
      </c>
      <c r="F108" s="99">
        <f>INDEX(Lookup!$F$2:$F$51,MATCH(D108,Lookup!$D$2:$D$51,0))</f>
        <v/>
      </c>
      <c r="G108" s="100" t="n">
        <v>76</v>
      </c>
      <c r="H108" s="100" t="n">
        <v>64</v>
      </c>
      <c r="I108" s="100" t="n">
        <v>101</v>
      </c>
      <c r="J108" s="100" t="n">
        <v>3</v>
      </c>
      <c r="K108" s="100" t="n">
        <v>33</v>
      </c>
      <c r="L108" s="100" t="n">
        <v>2</v>
      </c>
      <c r="M108" s="100" t="n">
        <v>36</v>
      </c>
      <c r="N108" s="99" t="inlineStr">
        <is>
          <t>Healthy</t>
        </is>
      </c>
      <c r="O108" s="100">
        <f>G108+H108</f>
        <v/>
      </c>
      <c r="P108" s="100">
        <f>G108+H108-I108-J108</f>
        <v/>
      </c>
      <c r="Q108" s="100">
        <f>MAX(0,P108)</f>
        <v/>
      </c>
      <c r="R108" s="100">
        <f>MAX(0,-P108)</f>
        <v/>
      </c>
      <c r="S108" s="101">
        <f>IFERROR(J108/O108,0)</f>
        <v/>
      </c>
      <c r="T108" s="101">
        <f>IFERROR(I108/O108,0)</f>
        <v/>
      </c>
      <c r="U108" s="102">
        <f>IF(P108&lt;=K108,"Reorder Required","Stock Sufficient")</f>
        <v/>
      </c>
      <c r="V108" s="102">
        <f>IF(AND(Q108=M108,(U108="Reorder Required")=(N108="Reorder Required")),"OK","Mismatch")</f>
        <v/>
      </c>
      <c r="W108" s="99" t="n"/>
    </row>
    <row r="109">
      <c r="A109" s="99" t="inlineStr">
        <is>
          <t>INV00108</t>
        </is>
      </c>
      <c r="B109" s="99" t="inlineStr">
        <is>
          <t>OUT003</t>
        </is>
      </c>
      <c r="C109" s="99">
        <f>INDEX(Lookup!$B$2:$B$11,MATCH(B109,Lookup!$A$2:$A$11,0))</f>
        <v/>
      </c>
      <c r="D109" s="99" t="inlineStr">
        <is>
          <t>BP008</t>
        </is>
      </c>
      <c r="E109" s="99">
        <f>INDEX(Lookup!$E$2:$E$51,MATCH(D109,Lookup!$D$2:$D$51,0))</f>
        <v/>
      </c>
      <c r="F109" s="99">
        <f>INDEX(Lookup!$F$2:$F$51,MATCH(D109,Lookup!$D$2:$D$51,0))</f>
        <v/>
      </c>
      <c r="G109" s="100" t="n">
        <v>79</v>
      </c>
      <c r="H109" s="100" t="n">
        <v>59</v>
      </c>
      <c r="I109" s="100" t="n">
        <v>83</v>
      </c>
      <c r="J109" s="100" t="n">
        <v>0</v>
      </c>
      <c r="K109" s="100" t="n">
        <v>21</v>
      </c>
      <c r="L109" s="100" t="n">
        <v>4</v>
      </c>
      <c r="M109" s="100" t="n">
        <v>55</v>
      </c>
      <c r="N109" s="99" t="inlineStr">
        <is>
          <t>Healthy</t>
        </is>
      </c>
      <c r="O109" s="100">
        <f>G109+H109</f>
        <v/>
      </c>
      <c r="P109" s="100">
        <f>G109+H109-I109-J109</f>
        <v/>
      </c>
      <c r="Q109" s="100">
        <f>MAX(0,P109)</f>
        <v/>
      </c>
      <c r="R109" s="100">
        <f>MAX(0,-P109)</f>
        <v/>
      </c>
      <c r="S109" s="101">
        <f>IFERROR(J109/O109,0)</f>
        <v/>
      </c>
      <c r="T109" s="101">
        <f>IFERROR(I109/O109,0)</f>
        <v/>
      </c>
      <c r="U109" s="102">
        <f>IF(P109&lt;=K109,"Reorder Required","Stock Sufficient")</f>
        <v/>
      </c>
      <c r="V109" s="102">
        <f>IF(AND(Q109=M109,(U109="Reorder Required")=(N109="Reorder Required")),"OK","Mismatch")</f>
        <v/>
      </c>
      <c r="W109" s="99" t="n"/>
    </row>
    <row r="110">
      <c r="A110" s="99" t="inlineStr">
        <is>
          <t>INV00109</t>
        </is>
      </c>
      <c r="B110" s="99" t="inlineStr">
        <is>
          <t>OUT003</t>
        </is>
      </c>
      <c r="C110" s="99">
        <f>INDEX(Lookup!$B$2:$B$11,MATCH(B110,Lookup!$A$2:$A$11,0))</f>
        <v/>
      </c>
      <c r="D110" s="99" t="inlineStr">
        <is>
          <t>BP009</t>
        </is>
      </c>
      <c r="E110" s="99">
        <f>INDEX(Lookup!$E$2:$E$51,MATCH(D110,Lookup!$D$2:$D$51,0))</f>
        <v/>
      </c>
      <c r="F110" s="99">
        <f>INDEX(Lookup!$F$2:$F$51,MATCH(D110,Lookup!$D$2:$D$51,0))</f>
        <v/>
      </c>
      <c r="G110" s="100" t="n">
        <v>88</v>
      </c>
      <c r="H110" s="100" t="n">
        <v>87</v>
      </c>
      <c r="I110" s="100" t="n">
        <v>115</v>
      </c>
      <c r="J110" s="100" t="n">
        <v>2</v>
      </c>
      <c r="K110" s="100" t="n">
        <v>30</v>
      </c>
      <c r="L110" s="100" t="n">
        <v>5</v>
      </c>
      <c r="M110" s="100" t="n">
        <v>58</v>
      </c>
      <c r="N110" s="99" t="inlineStr">
        <is>
          <t>Healthy</t>
        </is>
      </c>
      <c r="O110" s="100">
        <f>G110+H110</f>
        <v/>
      </c>
      <c r="P110" s="100">
        <f>G110+H110-I110-J110</f>
        <v/>
      </c>
      <c r="Q110" s="100">
        <f>MAX(0,P110)</f>
        <v/>
      </c>
      <c r="R110" s="100">
        <f>MAX(0,-P110)</f>
        <v/>
      </c>
      <c r="S110" s="101">
        <f>IFERROR(J110/O110,0)</f>
        <v/>
      </c>
      <c r="T110" s="101">
        <f>IFERROR(I110/O110,0)</f>
        <v/>
      </c>
      <c r="U110" s="102">
        <f>IF(P110&lt;=K110,"Reorder Required","Stock Sufficient")</f>
        <v/>
      </c>
      <c r="V110" s="102">
        <f>IF(AND(Q110=M110,(U110="Reorder Required")=(N110="Reorder Required")),"OK","Mismatch")</f>
        <v/>
      </c>
      <c r="W110" s="99" t="n"/>
    </row>
    <row r="111">
      <c r="A111" s="99" t="inlineStr">
        <is>
          <t>INV00110</t>
        </is>
      </c>
      <c r="B111" s="99" t="inlineStr">
        <is>
          <t>OUT003</t>
        </is>
      </c>
      <c r="C111" s="99">
        <f>INDEX(Lookup!$B$2:$B$11,MATCH(B111,Lookup!$A$2:$A$11,0))</f>
        <v/>
      </c>
      <c r="D111" s="99" t="inlineStr">
        <is>
          <t>BP010</t>
        </is>
      </c>
      <c r="E111" s="99">
        <f>INDEX(Lookup!$E$2:$E$51,MATCH(D111,Lookup!$D$2:$D$51,0))</f>
        <v/>
      </c>
      <c r="F111" s="99">
        <f>INDEX(Lookup!$F$2:$F$51,MATCH(D111,Lookup!$D$2:$D$51,0))</f>
        <v/>
      </c>
      <c r="G111" s="100" t="n">
        <v>137</v>
      </c>
      <c r="H111" s="100" t="n">
        <v>50</v>
      </c>
      <c r="I111" s="100" t="n">
        <v>72</v>
      </c>
      <c r="J111" s="100" t="n">
        <v>0</v>
      </c>
      <c r="K111" s="100" t="n">
        <v>18</v>
      </c>
      <c r="L111" s="100" t="n">
        <v>4</v>
      </c>
      <c r="M111" s="100" t="n">
        <v>115</v>
      </c>
      <c r="N111" s="99" t="inlineStr">
        <is>
          <t>Healthy</t>
        </is>
      </c>
      <c r="O111" s="100">
        <f>G111+H111</f>
        <v/>
      </c>
      <c r="P111" s="100">
        <f>G111+H111-I111-J111</f>
        <v/>
      </c>
      <c r="Q111" s="100">
        <f>MAX(0,P111)</f>
        <v/>
      </c>
      <c r="R111" s="100">
        <f>MAX(0,-P111)</f>
        <v/>
      </c>
      <c r="S111" s="101">
        <f>IFERROR(J111/O111,0)</f>
        <v/>
      </c>
      <c r="T111" s="101">
        <f>IFERROR(I111/O111,0)</f>
        <v/>
      </c>
      <c r="U111" s="102">
        <f>IF(P111&lt;=K111,"Reorder Required","Stock Sufficient")</f>
        <v/>
      </c>
      <c r="V111" s="102">
        <f>IF(AND(Q111=M111,(U111="Reorder Required")=(N111="Reorder Required")),"OK","Mismatch")</f>
        <v/>
      </c>
      <c r="W111" s="99" t="n"/>
    </row>
    <row r="112">
      <c r="A112" s="99" t="inlineStr">
        <is>
          <t>INV00111</t>
        </is>
      </c>
      <c r="B112" s="99" t="inlineStr">
        <is>
          <t>OUT003</t>
        </is>
      </c>
      <c r="C112" s="99">
        <f>INDEX(Lookup!$B$2:$B$11,MATCH(B112,Lookup!$A$2:$A$11,0))</f>
        <v/>
      </c>
      <c r="D112" s="99" t="inlineStr">
        <is>
          <t>BP011</t>
        </is>
      </c>
      <c r="E112" s="99">
        <f>INDEX(Lookup!$E$2:$E$51,MATCH(D112,Lookup!$D$2:$D$51,0))</f>
        <v/>
      </c>
      <c r="F112" s="99">
        <f>INDEX(Lookup!$F$2:$F$51,MATCH(D112,Lookup!$D$2:$D$51,0))</f>
        <v/>
      </c>
      <c r="G112" s="100" t="n">
        <v>146</v>
      </c>
      <c r="H112" s="100" t="n">
        <v>55</v>
      </c>
      <c r="I112" s="100" t="n">
        <v>95</v>
      </c>
      <c r="J112" s="100" t="n">
        <v>1</v>
      </c>
      <c r="K112" s="100" t="n">
        <v>19</v>
      </c>
      <c r="L112" s="100" t="n">
        <v>5</v>
      </c>
      <c r="M112" s="100" t="n">
        <v>105</v>
      </c>
      <c r="N112" s="99" t="inlineStr">
        <is>
          <t>Healthy</t>
        </is>
      </c>
      <c r="O112" s="100">
        <f>G112+H112</f>
        <v/>
      </c>
      <c r="P112" s="100">
        <f>G112+H112-I112-J112</f>
        <v/>
      </c>
      <c r="Q112" s="100">
        <f>MAX(0,P112)</f>
        <v/>
      </c>
      <c r="R112" s="100">
        <f>MAX(0,-P112)</f>
        <v/>
      </c>
      <c r="S112" s="101">
        <f>IFERROR(J112/O112,0)</f>
        <v/>
      </c>
      <c r="T112" s="101">
        <f>IFERROR(I112/O112,0)</f>
        <v/>
      </c>
      <c r="U112" s="102">
        <f>IF(P112&lt;=K112,"Reorder Required","Stock Sufficient")</f>
        <v/>
      </c>
      <c r="V112" s="102">
        <f>IF(AND(Q112=M112,(U112="Reorder Required")=(N112="Reorder Required")),"OK","Mismatch")</f>
        <v/>
      </c>
      <c r="W112" s="99" t="n"/>
    </row>
    <row r="113">
      <c r="A113" s="99" t="inlineStr">
        <is>
          <t>INV00112</t>
        </is>
      </c>
      <c r="B113" s="99" t="inlineStr">
        <is>
          <t>OUT003</t>
        </is>
      </c>
      <c r="C113" s="99">
        <f>INDEX(Lookup!$B$2:$B$11,MATCH(B113,Lookup!$A$2:$A$11,0))</f>
        <v/>
      </c>
      <c r="D113" s="99" t="inlineStr">
        <is>
          <t>BP012</t>
        </is>
      </c>
      <c r="E113" s="99">
        <f>INDEX(Lookup!$E$2:$E$51,MATCH(D113,Lookup!$D$2:$D$51,0))</f>
        <v/>
      </c>
      <c r="F113" s="99">
        <f>INDEX(Lookup!$F$2:$F$51,MATCH(D113,Lookup!$D$2:$D$51,0))</f>
        <v/>
      </c>
      <c r="G113" s="100" t="n">
        <v>113</v>
      </c>
      <c r="H113" s="100" t="n">
        <v>100</v>
      </c>
      <c r="I113" s="100" t="n">
        <v>139</v>
      </c>
      <c r="J113" s="100" t="n">
        <v>3</v>
      </c>
      <c r="K113" s="100" t="n">
        <v>20</v>
      </c>
      <c r="L113" s="100" t="n">
        <v>3</v>
      </c>
      <c r="M113" s="100" t="n">
        <v>71</v>
      </c>
      <c r="N113" s="99" t="inlineStr">
        <is>
          <t>Healthy</t>
        </is>
      </c>
      <c r="O113" s="100">
        <f>G113+H113</f>
        <v/>
      </c>
      <c r="P113" s="100">
        <f>G113+H113-I113-J113</f>
        <v/>
      </c>
      <c r="Q113" s="100">
        <f>MAX(0,P113)</f>
        <v/>
      </c>
      <c r="R113" s="100">
        <f>MAX(0,-P113)</f>
        <v/>
      </c>
      <c r="S113" s="101">
        <f>IFERROR(J113/O113,0)</f>
        <v/>
      </c>
      <c r="T113" s="101">
        <f>IFERROR(I113/O113,0)</f>
        <v/>
      </c>
      <c r="U113" s="102">
        <f>IF(P113&lt;=K113,"Reorder Required","Stock Sufficient")</f>
        <v/>
      </c>
      <c r="V113" s="102">
        <f>IF(AND(Q113=M113,(U113="Reorder Required")=(N113="Reorder Required")),"OK","Mismatch")</f>
        <v/>
      </c>
      <c r="W113" s="99" t="n"/>
    </row>
    <row r="114">
      <c r="A114" s="99" t="inlineStr">
        <is>
          <t>INV00113</t>
        </is>
      </c>
      <c r="B114" s="99" t="inlineStr">
        <is>
          <t>OUT003</t>
        </is>
      </c>
      <c r="C114" s="99">
        <f>INDEX(Lookup!$B$2:$B$11,MATCH(B114,Lookup!$A$2:$A$11,0))</f>
        <v/>
      </c>
      <c r="D114" s="99" t="inlineStr">
        <is>
          <t>BP013</t>
        </is>
      </c>
      <c r="E114" s="99">
        <f>INDEX(Lookup!$E$2:$E$51,MATCH(D114,Lookup!$D$2:$D$51,0))</f>
        <v/>
      </c>
      <c r="F114" s="99">
        <f>INDEX(Lookup!$F$2:$F$51,MATCH(D114,Lookup!$D$2:$D$51,0))</f>
        <v/>
      </c>
      <c r="G114" s="100" t="n">
        <v>41</v>
      </c>
      <c r="H114" s="100" t="n">
        <v>73</v>
      </c>
      <c r="I114" s="100" t="n">
        <v>61</v>
      </c>
      <c r="J114" s="100" t="n">
        <v>3</v>
      </c>
      <c r="K114" s="100" t="n">
        <v>26</v>
      </c>
      <c r="L114" s="100" t="n">
        <v>4</v>
      </c>
      <c r="M114" s="100" t="n">
        <v>50</v>
      </c>
      <c r="N114" s="99" t="inlineStr">
        <is>
          <t>Healthy</t>
        </is>
      </c>
      <c r="O114" s="100">
        <f>G114+H114</f>
        <v/>
      </c>
      <c r="P114" s="100">
        <f>G114+H114-I114-J114</f>
        <v/>
      </c>
      <c r="Q114" s="100">
        <f>MAX(0,P114)</f>
        <v/>
      </c>
      <c r="R114" s="100">
        <f>MAX(0,-P114)</f>
        <v/>
      </c>
      <c r="S114" s="101">
        <f>IFERROR(J114/O114,0)</f>
        <v/>
      </c>
      <c r="T114" s="101">
        <f>IFERROR(I114/O114,0)</f>
        <v/>
      </c>
      <c r="U114" s="102">
        <f>IF(P114&lt;=K114,"Reorder Required","Stock Sufficient")</f>
        <v/>
      </c>
      <c r="V114" s="102">
        <f>IF(AND(Q114=M114,(U114="Reorder Required")=(N114="Reorder Required")),"OK","Mismatch")</f>
        <v/>
      </c>
      <c r="W114" s="99" t="n"/>
    </row>
    <row r="115">
      <c r="A115" s="99" t="inlineStr">
        <is>
          <t>INV00114</t>
        </is>
      </c>
      <c r="B115" s="99" t="inlineStr">
        <is>
          <t>OUT003</t>
        </is>
      </c>
      <c r="C115" s="99">
        <f>INDEX(Lookup!$B$2:$B$11,MATCH(B115,Lookup!$A$2:$A$11,0))</f>
        <v/>
      </c>
      <c r="D115" s="99" t="inlineStr">
        <is>
          <t>BP014</t>
        </is>
      </c>
      <c r="E115" s="99">
        <f>INDEX(Lookup!$E$2:$E$51,MATCH(D115,Lookup!$D$2:$D$51,0))</f>
        <v/>
      </c>
      <c r="F115" s="99">
        <f>INDEX(Lookup!$F$2:$F$51,MATCH(D115,Lookup!$D$2:$D$51,0))</f>
        <v/>
      </c>
      <c r="G115" s="100" t="n">
        <v>121</v>
      </c>
      <c r="H115" s="100" t="n">
        <v>78</v>
      </c>
      <c r="I115" s="100" t="n">
        <v>82</v>
      </c>
      <c r="J115" s="100" t="n">
        <v>2</v>
      </c>
      <c r="K115" s="100" t="n">
        <v>18</v>
      </c>
      <c r="L115" s="100" t="n">
        <v>5</v>
      </c>
      <c r="M115" s="100" t="n">
        <v>115</v>
      </c>
      <c r="N115" s="99" t="inlineStr">
        <is>
          <t>Healthy</t>
        </is>
      </c>
      <c r="O115" s="100">
        <f>G115+H115</f>
        <v/>
      </c>
      <c r="P115" s="100">
        <f>G115+H115-I115-J115</f>
        <v/>
      </c>
      <c r="Q115" s="100">
        <f>MAX(0,P115)</f>
        <v/>
      </c>
      <c r="R115" s="100">
        <f>MAX(0,-P115)</f>
        <v/>
      </c>
      <c r="S115" s="101">
        <f>IFERROR(J115/O115,0)</f>
        <v/>
      </c>
      <c r="T115" s="101">
        <f>IFERROR(I115/O115,0)</f>
        <v/>
      </c>
      <c r="U115" s="102">
        <f>IF(P115&lt;=K115,"Reorder Required","Stock Sufficient")</f>
        <v/>
      </c>
      <c r="V115" s="102">
        <f>IF(AND(Q115=M115,(U115="Reorder Required")=(N115="Reorder Required")),"OK","Mismatch")</f>
        <v/>
      </c>
      <c r="W115" s="99" t="n"/>
    </row>
    <row r="116">
      <c r="A116" s="99" t="inlineStr">
        <is>
          <t>INV00115</t>
        </is>
      </c>
      <c r="B116" s="99" t="inlineStr">
        <is>
          <t>OUT003</t>
        </is>
      </c>
      <c r="C116" s="99">
        <f>INDEX(Lookup!$B$2:$B$11,MATCH(B116,Lookup!$A$2:$A$11,0))</f>
        <v/>
      </c>
      <c r="D116" s="99" t="inlineStr">
        <is>
          <t>BP015</t>
        </is>
      </c>
      <c r="E116" s="99">
        <f>INDEX(Lookup!$E$2:$E$51,MATCH(D116,Lookup!$D$2:$D$51,0))</f>
        <v/>
      </c>
      <c r="F116" s="99">
        <f>INDEX(Lookup!$F$2:$F$51,MATCH(D116,Lookup!$D$2:$D$51,0))</f>
        <v/>
      </c>
      <c r="G116" s="100" t="n">
        <v>132</v>
      </c>
      <c r="H116" s="100" t="n">
        <v>83</v>
      </c>
      <c r="I116" s="100" t="n">
        <v>105</v>
      </c>
      <c r="J116" s="100" t="n">
        <v>1</v>
      </c>
      <c r="K116" s="100" t="n">
        <v>27</v>
      </c>
      <c r="L116" s="100" t="n">
        <v>4</v>
      </c>
      <c r="M116" s="100" t="n">
        <v>109</v>
      </c>
      <c r="N116" s="99" t="inlineStr">
        <is>
          <t>Healthy</t>
        </is>
      </c>
      <c r="O116" s="100">
        <f>G116+H116</f>
        <v/>
      </c>
      <c r="P116" s="100">
        <f>G116+H116-I116-J116</f>
        <v/>
      </c>
      <c r="Q116" s="100">
        <f>MAX(0,P116)</f>
        <v/>
      </c>
      <c r="R116" s="100">
        <f>MAX(0,-P116)</f>
        <v/>
      </c>
      <c r="S116" s="101">
        <f>IFERROR(J116/O116,0)</f>
        <v/>
      </c>
      <c r="T116" s="101">
        <f>IFERROR(I116/O116,0)</f>
        <v/>
      </c>
      <c r="U116" s="102">
        <f>IF(P116&lt;=K116,"Reorder Required","Stock Sufficient")</f>
        <v/>
      </c>
      <c r="V116" s="102">
        <f>IF(AND(Q116=M116,(U116="Reorder Required")=(N116="Reorder Required")),"OK","Mismatch")</f>
        <v/>
      </c>
      <c r="W116" s="99" t="n"/>
    </row>
    <row r="117">
      <c r="A117" s="99" t="inlineStr">
        <is>
          <t>INV00116</t>
        </is>
      </c>
      <c r="B117" s="99" t="inlineStr">
        <is>
          <t>OUT003</t>
        </is>
      </c>
      <c r="C117" s="99">
        <f>INDEX(Lookup!$B$2:$B$11,MATCH(B117,Lookup!$A$2:$A$11,0))</f>
        <v/>
      </c>
      <c r="D117" s="99" t="inlineStr">
        <is>
          <t>BP016</t>
        </is>
      </c>
      <c r="E117" s="99">
        <f>INDEX(Lookup!$E$2:$E$51,MATCH(D117,Lookup!$D$2:$D$51,0))</f>
        <v/>
      </c>
      <c r="F117" s="99">
        <f>INDEX(Lookup!$F$2:$F$51,MATCH(D117,Lookup!$D$2:$D$51,0))</f>
        <v/>
      </c>
      <c r="G117" s="100" t="n">
        <v>54</v>
      </c>
      <c r="H117" s="100" t="n">
        <v>42</v>
      </c>
      <c r="I117" s="100" t="n">
        <v>115</v>
      </c>
      <c r="J117" s="100" t="n">
        <v>2</v>
      </c>
      <c r="K117" s="100" t="n">
        <v>37</v>
      </c>
      <c r="L117" s="100" t="n">
        <v>5</v>
      </c>
      <c r="M117" s="100" t="n">
        <v>0</v>
      </c>
      <c r="N117" s="99" t="inlineStr">
        <is>
          <t>Reorder Required</t>
        </is>
      </c>
      <c r="O117" s="100">
        <f>G117+H117</f>
        <v/>
      </c>
      <c r="P117" s="100">
        <f>G117+H117-I117-J117</f>
        <v/>
      </c>
      <c r="Q117" s="100">
        <f>MAX(0,P117)</f>
        <v/>
      </c>
      <c r="R117" s="100">
        <f>MAX(0,-P117)</f>
        <v/>
      </c>
      <c r="S117" s="101">
        <f>IFERROR(J117/O117,0)</f>
        <v/>
      </c>
      <c r="T117" s="101">
        <f>IFERROR(I117/O117,0)</f>
        <v/>
      </c>
      <c r="U117" s="102">
        <f>IF(P117&lt;=K117,"Reorder Required","Stock Sufficient")</f>
        <v/>
      </c>
      <c r="V117" s="102">
        <f>IF(AND(Q117=M117,(U117="Reorder Required")=(N117="Reorder Required")),"OK","Mismatch")</f>
        <v/>
      </c>
      <c r="W117" s="99" t="inlineStr">
        <is>
          <t>Restock immediately</t>
        </is>
      </c>
    </row>
    <row r="118">
      <c r="A118" s="99" t="inlineStr">
        <is>
          <t>INV00117</t>
        </is>
      </c>
      <c r="B118" s="99" t="inlineStr">
        <is>
          <t>OUT003</t>
        </is>
      </c>
      <c r="C118" s="99">
        <f>INDEX(Lookup!$B$2:$B$11,MATCH(B118,Lookup!$A$2:$A$11,0))</f>
        <v/>
      </c>
      <c r="D118" s="99" t="inlineStr">
        <is>
          <t>BP017</t>
        </is>
      </c>
      <c r="E118" s="99">
        <f>INDEX(Lookup!$E$2:$E$51,MATCH(D118,Lookup!$D$2:$D$51,0))</f>
        <v/>
      </c>
      <c r="F118" s="99">
        <f>INDEX(Lookup!$F$2:$F$51,MATCH(D118,Lookup!$D$2:$D$51,0))</f>
        <v/>
      </c>
      <c r="G118" s="100" t="n">
        <v>62</v>
      </c>
      <c r="H118" s="100" t="n">
        <v>57</v>
      </c>
      <c r="I118" s="100" t="n">
        <v>31</v>
      </c>
      <c r="J118" s="100" t="n">
        <v>0</v>
      </c>
      <c r="K118" s="100" t="n">
        <v>27</v>
      </c>
      <c r="L118" s="100" t="n">
        <v>5</v>
      </c>
      <c r="M118" s="100" t="n">
        <v>88</v>
      </c>
      <c r="N118" s="99" t="inlineStr">
        <is>
          <t>Healthy</t>
        </is>
      </c>
      <c r="O118" s="100">
        <f>G118+H118</f>
        <v/>
      </c>
      <c r="P118" s="100">
        <f>G118+H118-I118-J118</f>
        <v/>
      </c>
      <c r="Q118" s="100">
        <f>MAX(0,P118)</f>
        <v/>
      </c>
      <c r="R118" s="100">
        <f>MAX(0,-P118)</f>
        <v/>
      </c>
      <c r="S118" s="101">
        <f>IFERROR(J118/O118,0)</f>
        <v/>
      </c>
      <c r="T118" s="101">
        <f>IFERROR(I118/O118,0)</f>
        <v/>
      </c>
      <c r="U118" s="102">
        <f>IF(P118&lt;=K118,"Reorder Required","Stock Sufficient")</f>
        <v/>
      </c>
      <c r="V118" s="102">
        <f>IF(AND(Q118=M118,(U118="Reorder Required")=(N118="Reorder Required")),"OK","Mismatch")</f>
        <v/>
      </c>
      <c r="W118" s="99" t="n"/>
    </row>
    <row r="119">
      <c r="A119" s="99" t="inlineStr">
        <is>
          <t>INV00118</t>
        </is>
      </c>
      <c r="B119" s="99" t="inlineStr">
        <is>
          <t>OUT003</t>
        </is>
      </c>
      <c r="C119" s="99">
        <f>INDEX(Lookup!$B$2:$B$11,MATCH(B119,Lookup!$A$2:$A$11,0))</f>
        <v/>
      </c>
      <c r="D119" s="99" t="inlineStr">
        <is>
          <t>BP018</t>
        </is>
      </c>
      <c r="E119" s="99">
        <f>INDEX(Lookup!$E$2:$E$51,MATCH(D119,Lookup!$D$2:$D$51,0))</f>
        <v/>
      </c>
      <c r="F119" s="99">
        <f>INDEX(Lookup!$F$2:$F$51,MATCH(D119,Lookup!$D$2:$D$51,0))</f>
        <v/>
      </c>
      <c r="G119" s="100" t="n">
        <v>63</v>
      </c>
      <c r="H119" s="100" t="n">
        <v>100</v>
      </c>
      <c r="I119" s="100" t="n">
        <v>37</v>
      </c>
      <c r="J119" s="100" t="n">
        <v>0</v>
      </c>
      <c r="K119" s="100" t="n">
        <v>39</v>
      </c>
      <c r="L119" s="100" t="n">
        <v>3</v>
      </c>
      <c r="M119" s="100" t="n">
        <v>126</v>
      </c>
      <c r="N119" s="99" t="inlineStr">
        <is>
          <t>Healthy</t>
        </is>
      </c>
      <c r="O119" s="100">
        <f>G119+H119</f>
        <v/>
      </c>
      <c r="P119" s="100">
        <f>G119+H119-I119-J119</f>
        <v/>
      </c>
      <c r="Q119" s="100">
        <f>MAX(0,P119)</f>
        <v/>
      </c>
      <c r="R119" s="100">
        <f>MAX(0,-P119)</f>
        <v/>
      </c>
      <c r="S119" s="101">
        <f>IFERROR(J119/O119,0)</f>
        <v/>
      </c>
      <c r="T119" s="101">
        <f>IFERROR(I119/O119,0)</f>
        <v/>
      </c>
      <c r="U119" s="102">
        <f>IF(P119&lt;=K119,"Reorder Required","Stock Sufficient")</f>
        <v/>
      </c>
      <c r="V119" s="102">
        <f>IF(AND(Q119=M119,(U119="Reorder Required")=(N119="Reorder Required")),"OK","Mismatch")</f>
        <v/>
      </c>
      <c r="W119" s="99" t="n"/>
    </row>
    <row r="120">
      <c r="A120" s="99" t="inlineStr">
        <is>
          <t>INV00119</t>
        </is>
      </c>
      <c r="B120" s="99" t="inlineStr">
        <is>
          <t>OUT003</t>
        </is>
      </c>
      <c r="C120" s="99">
        <f>INDEX(Lookup!$B$2:$B$11,MATCH(B120,Lookup!$A$2:$A$11,0))</f>
        <v/>
      </c>
      <c r="D120" s="99" t="inlineStr">
        <is>
          <t>BP019</t>
        </is>
      </c>
      <c r="E120" s="99">
        <f>INDEX(Lookup!$E$2:$E$51,MATCH(D120,Lookup!$D$2:$D$51,0))</f>
        <v/>
      </c>
      <c r="F120" s="99">
        <f>INDEX(Lookup!$F$2:$F$51,MATCH(D120,Lookup!$D$2:$D$51,0))</f>
        <v/>
      </c>
      <c r="G120" s="100" t="n">
        <v>138</v>
      </c>
      <c r="H120" s="100" t="n">
        <v>34</v>
      </c>
      <c r="I120" s="100" t="n">
        <v>86</v>
      </c>
      <c r="J120" s="100" t="n">
        <v>3</v>
      </c>
      <c r="K120" s="100" t="n">
        <v>37</v>
      </c>
      <c r="L120" s="100" t="n">
        <v>1</v>
      </c>
      <c r="M120" s="100" t="n">
        <v>83</v>
      </c>
      <c r="N120" s="99" t="inlineStr">
        <is>
          <t>Healthy</t>
        </is>
      </c>
      <c r="O120" s="100">
        <f>G120+H120</f>
        <v/>
      </c>
      <c r="P120" s="100">
        <f>G120+H120-I120-J120</f>
        <v/>
      </c>
      <c r="Q120" s="100">
        <f>MAX(0,P120)</f>
        <v/>
      </c>
      <c r="R120" s="100">
        <f>MAX(0,-P120)</f>
        <v/>
      </c>
      <c r="S120" s="101">
        <f>IFERROR(J120/O120,0)</f>
        <v/>
      </c>
      <c r="T120" s="101">
        <f>IFERROR(I120/O120,0)</f>
        <v/>
      </c>
      <c r="U120" s="102">
        <f>IF(P120&lt;=K120,"Reorder Required","Stock Sufficient")</f>
        <v/>
      </c>
      <c r="V120" s="102">
        <f>IF(AND(Q120=M120,(U120="Reorder Required")=(N120="Reorder Required")),"OK","Mismatch")</f>
        <v/>
      </c>
      <c r="W120" s="99" t="n"/>
    </row>
    <row r="121">
      <c r="A121" s="99" t="inlineStr">
        <is>
          <t>INV00120</t>
        </is>
      </c>
      <c r="B121" s="99" t="inlineStr">
        <is>
          <t>OUT003</t>
        </is>
      </c>
      <c r="C121" s="99">
        <f>INDEX(Lookup!$B$2:$B$11,MATCH(B121,Lookup!$A$2:$A$11,0))</f>
        <v/>
      </c>
      <c r="D121" s="99" t="inlineStr">
        <is>
          <t>BP020</t>
        </is>
      </c>
      <c r="E121" s="99">
        <f>INDEX(Lookup!$E$2:$E$51,MATCH(D121,Lookup!$D$2:$D$51,0))</f>
        <v/>
      </c>
      <c r="F121" s="99">
        <f>INDEX(Lookup!$F$2:$F$51,MATCH(D121,Lookup!$D$2:$D$51,0))</f>
        <v/>
      </c>
      <c r="G121" s="100" t="n">
        <v>113</v>
      </c>
      <c r="H121" s="100" t="n">
        <v>78</v>
      </c>
      <c r="I121" s="100" t="n">
        <v>123</v>
      </c>
      <c r="J121" s="100" t="n">
        <v>1</v>
      </c>
      <c r="K121" s="100" t="n">
        <v>35</v>
      </c>
      <c r="L121" s="100" t="n">
        <v>3</v>
      </c>
      <c r="M121" s="100" t="n">
        <v>67</v>
      </c>
      <c r="N121" s="99" t="inlineStr">
        <is>
          <t>Healthy</t>
        </is>
      </c>
      <c r="O121" s="100">
        <f>G121+H121</f>
        <v/>
      </c>
      <c r="P121" s="100">
        <f>G121+H121-I121-J121</f>
        <v/>
      </c>
      <c r="Q121" s="100">
        <f>MAX(0,P121)</f>
        <v/>
      </c>
      <c r="R121" s="100">
        <f>MAX(0,-P121)</f>
        <v/>
      </c>
      <c r="S121" s="101">
        <f>IFERROR(J121/O121,0)</f>
        <v/>
      </c>
      <c r="T121" s="101">
        <f>IFERROR(I121/O121,0)</f>
        <v/>
      </c>
      <c r="U121" s="102">
        <f>IF(P121&lt;=K121,"Reorder Required","Stock Sufficient")</f>
        <v/>
      </c>
      <c r="V121" s="102">
        <f>IF(AND(Q121=M121,(U121="Reorder Required")=(N121="Reorder Required")),"OK","Mismatch")</f>
        <v/>
      </c>
      <c r="W121" s="99" t="n"/>
    </row>
    <row r="122">
      <c r="A122" s="99" t="inlineStr">
        <is>
          <t>INV00121</t>
        </is>
      </c>
      <c r="B122" s="99" t="inlineStr">
        <is>
          <t>OUT003</t>
        </is>
      </c>
      <c r="C122" s="99">
        <f>INDEX(Lookup!$B$2:$B$11,MATCH(B122,Lookup!$A$2:$A$11,0))</f>
        <v/>
      </c>
      <c r="D122" s="99" t="inlineStr">
        <is>
          <t>BP021</t>
        </is>
      </c>
      <c r="E122" s="99">
        <f>INDEX(Lookup!$E$2:$E$51,MATCH(D122,Lookup!$D$2:$D$51,0))</f>
        <v/>
      </c>
      <c r="F122" s="99">
        <f>INDEX(Lookup!$F$2:$F$51,MATCH(D122,Lookup!$D$2:$D$51,0))</f>
        <v/>
      </c>
      <c r="G122" s="100" t="n">
        <v>113</v>
      </c>
      <c r="H122" s="100" t="n">
        <v>23</v>
      </c>
      <c r="I122" s="100" t="n">
        <v>101</v>
      </c>
      <c r="J122" s="100" t="n">
        <v>1</v>
      </c>
      <c r="K122" s="100" t="n">
        <v>30</v>
      </c>
      <c r="L122" s="100" t="n">
        <v>2</v>
      </c>
      <c r="M122" s="100" t="n">
        <v>34</v>
      </c>
      <c r="N122" s="99" t="inlineStr">
        <is>
          <t>Healthy</t>
        </is>
      </c>
      <c r="O122" s="100">
        <f>G122+H122</f>
        <v/>
      </c>
      <c r="P122" s="100">
        <f>G122+H122-I122-J122</f>
        <v/>
      </c>
      <c r="Q122" s="100">
        <f>MAX(0,P122)</f>
        <v/>
      </c>
      <c r="R122" s="100">
        <f>MAX(0,-P122)</f>
        <v/>
      </c>
      <c r="S122" s="101">
        <f>IFERROR(J122/O122,0)</f>
        <v/>
      </c>
      <c r="T122" s="101">
        <f>IFERROR(I122/O122,0)</f>
        <v/>
      </c>
      <c r="U122" s="102">
        <f>IF(P122&lt;=K122,"Reorder Required","Stock Sufficient")</f>
        <v/>
      </c>
      <c r="V122" s="102">
        <f>IF(AND(Q122=M122,(U122="Reorder Required")=(N122="Reorder Required")),"OK","Mismatch")</f>
        <v/>
      </c>
      <c r="W122" s="99" t="n"/>
    </row>
    <row r="123">
      <c r="A123" s="99" t="inlineStr">
        <is>
          <t>INV00122</t>
        </is>
      </c>
      <c r="B123" s="99" t="inlineStr">
        <is>
          <t>OUT003</t>
        </is>
      </c>
      <c r="C123" s="99">
        <f>INDEX(Lookup!$B$2:$B$11,MATCH(B123,Lookup!$A$2:$A$11,0))</f>
        <v/>
      </c>
      <c r="D123" s="99" t="inlineStr">
        <is>
          <t>BP022</t>
        </is>
      </c>
      <c r="E123" s="99">
        <f>INDEX(Lookup!$E$2:$E$51,MATCH(D123,Lookup!$D$2:$D$51,0))</f>
        <v/>
      </c>
      <c r="F123" s="99">
        <f>INDEX(Lookup!$F$2:$F$51,MATCH(D123,Lookup!$D$2:$D$51,0))</f>
        <v/>
      </c>
      <c r="G123" s="100" t="n">
        <v>99</v>
      </c>
      <c r="H123" s="100" t="n">
        <v>99</v>
      </c>
      <c r="I123" s="100" t="n">
        <v>80</v>
      </c>
      <c r="J123" s="100" t="n">
        <v>2</v>
      </c>
      <c r="K123" s="100" t="n">
        <v>23</v>
      </c>
      <c r="L123" s="100" t="n">
        <v>1</v>
      </c>
      <c r="M123" s="100" t="n">
        <v>116</v>
      </c>
      <c r="N123" s="99" t="inlineStr">
        <is>
          <t>Healthy</t>
        </is>
      </c>
      <c r="O123" s="100">
        <f>G123+H123</f>
        <v/>
      </c>
      <c r="P123" s="100">
        <f>G123+H123-I123-J123</f>
        <v/>
      </c>
      <c r="Q123" s="100">
        <f>MAX(0,P123)</f>
        <v/>
      </c>
      <c r="R123" s="100">
        <f>MAX(0,-P123)</f>
        <v/>
      </c>
      <c r="S123" s="101">
        <f>IFERROR(J123/O123,0)</f>
        <v/>
      </c>
      <c r="T123" s="101">
        <f>IFERROR(I123/O123,0)</f>
        <v/>
      </c>
      <c r="U123" s="102">
        <f>IF(P123&lt;=K123,"Reorder Required","Stock Sufficient")</f>
        <v/>
      </c>
      <c r="V123" s="102">
        <f>IF(AND(Q123=M123,(U123="Reorder Required")=(N123="Reorder Required")),"OK","Mismatch")</f>
        <v/>
      </c>
      <c r="W123" s="99" t="n"/>
    </row>
    <row r="124">
      <c r="A124" s="99" t="inlineStr">
        <is>
          <t>INV00123</t>
        </is>
      </c>
      <c r="B124" s="99" t="inlineStr">
        <is>
          <t>OUT003</t>
        </is>
      </c>
      <c r="C124" s="99">
        <f>INDEX(Lookup!$B$2:$B$11,MATCH(B124,Lookup!$A$2:$A$11,0))</f>
        <v/>
      </c>
      <c r="D124" s="99" t="inlineStr">
        <is>
          <t>BP023</t>
        </is>
      </c>
      <c r="E124" s="99">
        <f>INDEX(Lookup!$E$2:$E$51,MATCH(D124,Lookup!$D$2:$D$51,0))</f>
        <v/>
      </c>
      <c r="F124" s="99">
        <f>INDEX(Lookup!$F$2:$F$51,MATCH(D124,Lookup!$D$2:$D$51,0))</f>
        <v/>
      </c>
      <c r="G124" s="100" t="n">
        <v>45</v>
      </c>
      <c r="H124" s="100" t="n">
        <v>44</v>
      </c>
      <c r="I124" s="100" t="n">
        <v>34</v>
      </c>
      <c r="J124" s="100" t="n">
        <v>3</v>
      </c>
      <c r="K124" s="100" t="n">
        <v>39</v>
      </c>
      <c r="L124" s="100" t="n">
        <v>1</v>
      </c>
      <c r="M124" s="100" t="n">
        <v>52</v>
      </c>
      <c r="N124" s="99" t="inlineStr">
        <is>
          <t>Healthy</t>
        </is>
      </c>
      <c r="O124" s="100">
        <f>G124+H124</f>
        <v/>
      </c>
      <c r="P124" s="100">
        <f>G124+H124-I124-J124</f>
        <v/>
      </c>
      <c r="Q124" s="100">
        <f>MAX(0,P124)</f>
        <v/>
      </c>
      <c r="R124" s="100">
        <f>MAX(0,-P124)</f>
        <v/>
      </c>
      <c r="S124" s="101">
        <f>IFERROR(J124/O124,0)</f>
        <v/>
      </c>
      <c r="T124" s="101">
        <f>IFERROR(I124/O124,0)</f>
        <v/>
      </c>
      <c r="U124" s="102">
        <f>IF(P124&lt;=K124,"Reorder Required","Stock Sufficient")</f>
        <v/>
      </c>
      <c r="V124" s="102">
        <f>IF(AND(Q124=M124,(U124="Reorder Required")=(N124="Reorder Required")),"OK","Mismatch")</f>
        <v/>
      </c>
      <c r="W124" s="99" t="n"/>
    </row>
    <row r="125">
      <c r="A125" s="99" t="inlineStr">
        <is>
          <t>INV00124</t>
        </is>
      </c>
      <c r="B125" s="99" t="inlineStr">
        <is>
          <t>OUT003</t>
        </is>
      </c>
      <c r="C125" s="99">
        <f>INDEX(Lookup!$B$2:$B$11,MATCH(B125,Lookup!$A$2:$A$11,0))</f>
        <v/>
      </c>
      <c r="D125" s="99" t="inlineStr">
        <is>
          <t>BP024</t>
        </is>
      </c>
      <c r="E125" s="99">
        <f>INDEX(Lookup!$E$2:$E$51,MATCH(D125,Lookup!$D$2:$D$51,0))</f>
        <v/>
      </c>
      <c r="F125" s="99">
        <f>INDEX(Lookup!$F$2:$F$51,MATCH(D125,Lookup!$D$2:$D$51,0))</f>
        <v/>
      </c>
      <c r="G125" s="100" t="n">
        <v>140</v>
      </c>
      <c r="H125" s="100" t="n">
        <v>68</v>
      </c>
      <c r="I125" s="100" t="n">
        <v>76</v>
      </c>
      <c r="J125" s="100" t="n">
        <v>0</v>
      </c>
      <c r="K125" s="100" t="n">
        <v>37</v>
      </c>
      <c r="L125" s="100" t="n">
        <v>2</v>
      </c>
      <c r="M125" s="100" t="n">
        <v>132</v>
      </c>
      <c r="N125" s="99" t="inlineStr">
        <is>
          <t>Healthy</t>
        </is>
      </c>
      <c r="O125" s="100">
        <f>G125+H125</f>
        <v/>
      </c>
      <c r="P125" s="100">
        <f>G125+H125-I125-J125</f>
        <v/>
      </c>
      <c r="Q125" s="100">
        <f>MAX(0,P125)</f>
        <v/>
      </c>
      <c r="R125" s="100">
        <f>MAX(0,-P125)</f>
        <v/>
      </c>
      <c r="S125" s="101">
        <f>IFERROR(J125/O125,0)</f>
        <v/>
      </c>
      <c r="T125" s="101">
        <f>IFERROR(I125/O125,0)</f>
        <v/>
      </c>
      <c r="U125" s="102">
        <f>IF(P125&lt;=K125,"Reorder Required","Stock Sufficient")</f>
        <v/>
      </c>
      <c r="V125" s="102">
        <f>IF(AND(Q125=M125,(U125="Reorder Required")=(N125="Reorder Required")),"OK","Mismatch")</f>
        <v/>
      </c>
      <c r="W125" s="99" t="n"/>
    </row>
    <row r="126">
      <c r="A126" s="99" t="inlineStr">
        <is>
          <t>INV00125</t>
        </is>
      </c>
      <c r="B126" s="99" t="inlineStr">
        <is>
          <t>OUT003</t>
        </is>
      </c>
      <c r="C126" s="99">
        <f>INDEX(Lookup!$B$2:$B$11,MATCH(B126,Lookup!$A$2:$A$11,0))</f>
        <v/>
      </c>
      <c r="D126" s="99" t="inlineStr">
        <is>
          <t>BP025</t>
        </is>
      </c>
      <c r="E126" s="99">
        <f>INDEX(Lookup!$E$2:$E$51,MATCH(D126,Lookup!$D$2:$D$51,0))</f>
        <v/>
      </c>
      <c r="F126" s="99">
        <f>INDEX(Lookup!$F$2:$F$51,MATCH(D126,Lookup!$D$2:$D$51,0))</f>
        <v/>
      </c>
      <c r="G126" s="100" t="n">
        <v>145</v>
      </c>
      <c r="H126" s="100" t="n">
        <v>26</v>
      </c>
      <c r="I126" s="100" t="n">
        <v>52</v>
      </c>
      <c r="J126" s="100" t="n">
        <v>3</v>
      </c>
      <c r="K126" s="100" t="n">
        <v>15</v>
      </c>
      <c r="L126" s="100" t="n">
        <v>2</v>
      </c>
      <c r="M126" s="100" t="n">
        <v>116</v>
      </c>
      <c r="N126" s="99" t="inlineStr">
        <is>
          <t>Healthy</t>
        </is>
      </c>
      <c r="O126" s="100">
        <f>G126+H126</f>
        <v/>
      </c>
      <c r="P126" s="100">
        <f>G126+H126-I126-J126</f>
        <v/>
      </c>
      <c r="Q126" s="100">
        <f>MAX(0,P126)</f>
        <v/>
      </c>
      <c r="R126" s="100">
        <f>MAX(0,-P126)</f>
        <v/>
      </c>
      <c r="S126" s="101">
        <f>IFERROR(J126/O126,0)</f>
        <v/>
      </c>
      <c r="T126" s="101">
        <f>IFERROR(I126/O126,0)</f>
        <v/>
      </c>
      <c r="U126" s="102">
        <f>IF(P126&lt;=K126,"Reorder Required","Stock Sufficient")</f>
        <v/>
      </c>
      <c r="V126" s="102">
        <f>IF(AND(Q126=M126,(U126="Reorder Required")=(N126="Reorder Required")),"OK","Mismatch")</f>
        <v/>
      </c>
      <c r="W126" s="99" t="n"/>
    </row>
    <row r="127">
      <c r="A127" s="99" t="inlineStr">
        <is>
          <t>INV00126</t>
        </is>
      </c>
      <c r="B127" s="99" t="inlineStr">
        <is>
          <t>OUT003</t>
        </is>
      </c>
      <c r="C127" s="99">
        <f>INDEX(Lookup!$B$2:$B$11,MATCH(B127,Lookup!$A$2:$A$11,0))</f>
        <v/>
      </c>
      <c r="D127" s="99" t="inlineStr">
        <is>
          <t>BP026</t>
        </is>
      </c>
      <c r="E127" s="99">
        <f>INDEX(Lookup!$E$2:$E$51,MATCH(D127,Lookup!$D$2:$D$51,0))</f>
        <v/>
      </c>
      <c r="F127" s="99">
        <f>INDEX(Lookup!$F$2:$F$51,MATCH(D127,Lookup!$D$2:$D$51,0))</f>
        <v/>
      </c>
      <c r="G127" s="100" t="n">
        <v>97</v>
      </c>
      <c r="H127" s="100" t="n">
        <v>49</v>
      </c>
      <c r="I127" s="100" t="n">
        <v>94</v>
      </c>
      <c r="J127" s="100" t="n">
        <v>1</v>
      </c>
      <c r="K127" s="100" t="n">
        <v>21</v>
      </c>
      <c r="L127" s="100" t="n">
        <v>1</v>
      </c>
      <c r="M127" s="100" t="n">
        <v>51</v>
      </c>
      <c r="N127" s="99" t="inlineStr">
        <is>
          <t>Healthy</t>
        </is>
      </c>
      <c r="O127" s="100">
        <f>G127+H127</f>
        <v/>
      </c>
      <c r="P127" s="100">
        <f>G127+H127-I127-J127</f>
        <v/>
      </c>
      <c r="Q127" s="100">
        <f>MAX(0,P127)</f>
        <v/>
      </c>
      <c r="R127" s="100">
        <f>MAX(0,-P127)</f>
        <v/>
      </c>
      <c r="S127" s="101">
        <f>IFERROR(J127/O127,0)</f>
        <v/>
      </c>
      <c r="T127" s="101">
        <f>IFERROR(I127/O127,0)</f>
        <v/>
      </c>
      <c r="U127" s="102">
        <f>IF(P127&lt;=K127,"Reorder Required","Stock Sufficient")</f>
        <v/>
      </c>
      <c r="V127" s="102">
        <f>IF(AND(Q127=M127,(U127="Reorder Required")=(N127="Reorder Required")),"OK","Mismatch")</f>
        <v/>
      </c>
      <c r="W127" s="99" t="n"/>
    </row>
    <row r="128">
      <c r="A128" s="99" t="inlineStr">
        <is>
          <t>INV00127</t>
        </is>
      </c>
      <c r="B128" s="99" t="inlineStr">
        <is>
          <t>OUT003</t>
        </is>
      </c>
      <c r="C128" s="99">
        <f>INDEX(Lookup!$B$2:$B$11,MATCH(B128,Lookup!$A$2:$A$11,0))</f>
        <v/>
      </c>
      <c r="D128" s="99" t="inlineStr">
        <is>
          <t>BP027</t>
        </is>
      </c>
      <c r="E128" s="99">
        <f>INDEX(Lookup!$E$2:$E$51,MATCH(D128,Lookup!$D$2:$D$51,0))</f>
        <v/>
      </c>
      <c r="F128" s="99">
        <f>INDEX(Lookup!$F$2:$F$51,MATCH(D128,Lookup!$D$2:$D$51,0))</f>
        <v/>
      </c>
      <c r="G128" s="100" t="n">
        <v>128</v>
      </c>
      <c r="H128" s="100" t="n">
        <v>91</v>
      </c>
      <c r="I128" s="100" t="n">
        <v>66</v>
      </c>
      <c r="J128" s="100" t="n">
        <v>2</v>
      </c>
      <c r="K128" s="100" t="n">
        <v>30</v>
      </c>
      <c r="L128" s="100" t="n">
        <v>2</v>
      </c>
      <c r="M128" s="100" t="n">
        <v>151</v>
      </c>
      <c r="N128" s="99" t="inlineStr">
        <is>
          <t>Healthy</t>
        </is>
      </c>
      <c r="O128" s="100">
        <f>G128+H128</f>
        <v/>
      </c>
      <c r="P128" s="100">
        <f>G128+H128-I128-J128</f>
        <v/>
      </c>
      <c r="Q128" s="100">
        <f>MAX(0,P128)</f>
        <v/>
      </c>
      <c r="R128" s="100">
        <f>MAX(0,-P128)</f>
        <v/>
      </c>
      <c r="S128" s="101">
        <f>IFERROR(J128/O128,0)</f>
        <v/>
      </c>
      <c r="T128" s="101">
        <f>IFERROR(I128/O128,0)</f>
        <v/>
      </c>
      <c r="U128" s="102">
        <f>IF(P128&lt;=K128,"Reorder Required","Stock Sufficient")</f>
        <v/>
      </c>
      <c r="V128" s="102">
        <f>IF(AND(Q128=M128,(U128="Reorder Required")=(N128="Reorder Required")),"OK","Mismatch")</f>
        <v/>
      </c>
      <c r="W128" s="99" t="n"/>
    </row>
    <row r="129">
      <c r="A129" s="99" t="inlineStr">
        <is>
          <t>INV00128</t>
        </is>
      </c>
      <c r="B129" s="99" t="inlineStr">
        <is>
          <t>OUT003</t>
        </is>
      </c>
      <c r="C129" s="99">
        <f>INDEX(Lookup!$B$2:$B$11,MATCH(B129,Lookup!$A$2:$A$11,0))</f>
        <v/>
      </c>
      <c r="D129" s="99" t="inlineStr">
        <is>
          <t>BP028</t>
        </is>
      </c>
      <c r="E129" s="99">
        <f>INDEX(Lookup!$E$2:$E$51,MATCH(D129,Lookup!$D$2:$D$51,0))</f>
        <v/>
      </c>
      <c r="F129" s="99">
        <f>INDEX(Lookup!$F$2:$F$51,MATCH(D129,Lookup!$D$2:$D$51,0))</f>
        <v/>
      </c>
      <c r="G129" s="100" t="n">
        <v>135</v>
      </c>
      <c r="H129" s="100" t="n">
        <v>44</v>
      </c>
      <c r="I129" s="100" t="n">
        <v>123</v>
      </c>
      <c r="J129" s="100" t="n">
        <v>1</v>
      </c>
      <c r="K129" s="100" t="n">
        <v>20</v>
      </c>
      <c r="L129" s="100" t="n">
        <v>2</v>
      </c>
      <c r="M129" s="100" t="n">
        <v>55</v>
      </c>
      <c r="N129" s="99" t="inlineStr">
        <is>
          <t>Healthy</t>
        </is>
      </c>
      <c r="O129" s="100">
        <f>G129+H129</f>
        <v/>
      </c>
      <c r="P129" s="100">
        <f>G129+H129-I129-J129</f>
        <v/>
      </c>
      <c r="Q129" s="100">
        <f>MAX(0,P129)</f>
        <v/>
      </c>
      <c r="R129" s="100">
        <f>MAX(0,-P129)</f>
        <v/>
      </c>
      <c r="S129" s="101">
        <f>IFERROR(J129/O129,0)</f>
        <v/>
      </c>
      <c r="T129" s="101">
        <f>IFERROR(I129/O129,0)</f>
        <v/>
      </c>
      <c r="U129" s="102">
        <f>IF(P129&lt;=K129,"Reorder Required","Stock Sufficient")</f>
        <v/>
      </c>
      <c r="V129" s="102">
        <f>IF(AND(Q129=M129,(U129="Reorder Required")=(N129="Reorder Required")),"OK","Mismatch")</f>
        <v/>
      </c>
      <c r="W129" s="99" t="n"/>
    </row>
    <row r="130">
      <c r="A130" s="99" t="inlineStr">
        <is>
          <t>INV00129</t>
        </is>
      </c>
      <c r="B130" s="99" t="inlineStr">
        <is>
          <t>OUT003</t>
        </is>
      </c>
      <c r="C130" s="99">
        <f>INDEX(Lookup!$B$2:$B$11,MATCH(B130,Lookup!$A$2:$A$11,0))</f>
        <v/>
      </c>
      <c r="D130" s="99" t="inlineStr">
        <is>
          <t>BP029</t>
        </is>
      </c>
      <c r="E130" s="99">
        <f>INDEX(Lookup!$E$2:$E$51,MATCH(D130,Lookup!$D$2:$D$51,0))</f>
        <v/>
      </c>
      <c r="F130" s="99">
        <f>INDEX(Lookup!$F$2:$F$51,MATCH(D130,Lookup!$D$2:$D$51,0))</f>
        <v/>
      </c>
      <c r="G130" s="100" t="n">
        <v>93</v>
      </c>
      <c r="H130" s="100" t="n">
        <v>28</v>
      </c>
      <c r="I130" s="100" t="n">
        <v>46</v>
      </c>
      <c r="J130" s="100" t="n">
        <v>3</v>
      </c>
      <c r="K130" s="100" t="n">
        <v>39</v>
      </c>
      <c r="L130" s="100" t="n">
        <v>5</v>
      </c>
      <c r="M130" s="100" t="n">
        <v>72</v>
      </c>
      <c r="N130" s="99" t="inlineStr">
        <is>
          <t>Healthy</t>
        </is>
      </c>
      <c r="O130" s="100">
        <f>G130+H130</f>
        <v/>
      </c>
      <c r="P130" s="100">
        <f>G130+H130-I130-J130</f>
        <v/>
      </c>
      <c r="Q130" s="100">
        <f>MAX(0,P130)</f>
        <v/>
      </c>
      <c r="R130" s="100">
        <f>MAX(0,-P130)</f>
        <v/>
      </c>
      <c r="S130" s="101">
        <f>IFERROR(J130/O130,0)</f>
        <v/>
      </c>
      <c r="T130" s="101">
        <f>IFERROR(I130/O130,0)</f>
        <v/>
      </c>
      <c r="U130" s="102">
        <f>IF(P130&lt;=K130,"Reorder Required","Stock Sufficient")</f>
        <v/>
      </c>
      <c r="V130" s="102">
        <f>IF(AND(Q130=M130,(U130="Reorder Required")=(N130="Reorder Required")),"OK","Mismatch")</f>
        <v/>
      </c>
      <c r="W130" s="99" t="n"/>
    </row>
    <row r="131">
      <c r="A131" s="99" t="inlineStr">
        <is>
          <t>INV00130</t>
        </is>
      </c>
      <c r="B131" s="99" t="inlineStr">
        <is>
          <t>OUT003</t>
        </is>
      </c>
      <c r="C131" s="99">
        <f>INDEX(Lookup!$B$2:$B$11,MATCH(B131,Lookup!$A$2:$A$11,0))</f>
        <v/>
      </c>
      <c r="D131" s="99" t="inlineStr">
        <is>
          <t>BP030</t>
        </is>
      </c>
      <c r="E131" s="99">
        <f>INDEX(Lookup!$E$2:$E$51,MATCH(D131,Lookup!$D$2:$D$51,0))</f>
        <v/>
      </c>
      <c r="F131" s="99">
        <f>INDEX(Lookup!$F$2:$F$51,MATCH(D131,Lookup!$D$2:$D$51,0))</f>
        <v/>
      </c>
      <c r="G131" s="100" t="n">
        <v>141</v>
      </c>
      <c r="H131" s="100" t="n">
        <v>61</v>
      </c>
      <c r="I131" s="100" t="n">
        <v>82</v>
      </c>
      <c r="J131" s="100" t="n">
        <v>8</v>
      </c>
      <c r="K131" s="100" t="n">
        <v>39</v>
      </c>
      <c r="L131" s="100" t="n">
        <v>4</v>
      </c>
      <c r="M131" s="100" t="n">
        <v>112</v>
      </c>
      <c r="N131" s="99" t="inlineStr">
        <is>
          <t>Healthy</t>
        </is>
      </c>
      <c r="O131" s="100">
        <f>G131+H131</f>
        <v/>
      </c>
      <c r="P131" s="100">
        <f>G131+H131-I131-J131</f>
        <v/>
      </c>
      <c r="Q131" s="100">
        <f>MAX(0,P131)</f>
        <v/>
      </c>
      <c r="R131" s="100">
        <f>MAX(0,-P131)</f>
        <v/>
      </c>
      <c r="S131" s="101">
        <f>IFERROR(J131/O131,0)</f>
        <v/>
      </c>
      <c r="T131" s="101">
        <f>IFERROR(I131/O131,0)</f>
        <v/>
      </c>
      <c r="U131" s="102">
        <f>IF(P131&lt;=K131,"Reorder Required","Stock Sufficient")</f>
        <v/>
      </c>
      <c r="V131" s="102">
        <f>IF(AND(Q131=M131,(U131="Reorder Required")=(N131="Reorder Required")),"OK","Mismatch")</f>
        <v/>
      </c>
      <c r="W131" s="99" t="n"/>
    </row>
    <row r="132">
      <c r="A132" s="99" t="inlineStr">
        <is>
          <t>INV00131</t>
        </is>
      </c>
      <c r="B132" s="99" t="inlineStr">
        <is>
          <t>OUT003</t>
        </is>
      </c>
      <c r="C132" s="99">
        <f>INDEX(Lookup!$B$2:$B$11,MATCH(B132,Lookup!$A$2:$A$11,0))</f>
        <v/>
      </c>
      <c r="D132" s="99" t="inlineStr">
        <is>
          <t>BP031</t>
        </is>
      </c>
      <c r="E132" s="99">
        <f>INDEX(Lookup!$E$2:$E$51,MATCH(D132,Lookup!$D$2:$D$51,0))</f>
        <v/>
      </c>
      <c r="F132" s="99">
        <f>INDEX(Lookup!$F$2:$F$51,MATCH(D132,Lookup!$D$2:$D$51,0))</f>
        <v/>
      </c>
      <c r="G132" s="100" t="n">
        <v>110</v>
      </c>
      <c r="H132" s="100" t="n">
        <v>97</v>
      </c>
      <c r="I132" s="100" t="n">
        <v>123</v>
      </c>
      <c r="J132" s="100" t="n">
        <v>5</v>
      </c>
      <c r="K132" s="100" t="n">
        <v>31</v>
      </c>
      <c r="L132" s="100" t="n">
        <v>3</v>
      </c>
      <c r="M132" s="100" t="n">
        <v>79</v>
      </c>
      <c r="N132" s="99" t="inlineStr">
        <is>
          <t>Healthy</t>
        </is>
      </c>
      <c r="O132" s="100">
        <f>G132+H132</f>
        <v/>
      </c>
      <c r="P132" s="100">
        <f>G132+H132-I132-J132</f>
        <v/>
      </c>
      <c r="Q132" s="100">
        <f>MAX(0,P132)</f>
        <v/>
      </c>
      <c r="R132" s="100">
        <f>MAX(0,-P132)</f>
        <v/>
      </c>
      <c r="S132" s="101">
        <f>IFERROR(J132/O132,0)</f>
        <v/>
      </c>
      <c r="T132" s="101">
        <f>IFERROR(I132/O132,0)</f>
        <v/>
      </c>
      <c r="U132" s="102">
        <f>IF(P132&lt;=K132,"Reorder Required","Stock Sufficient")</f>
        <v/>
      </c>
      <c r="V132" s="102">
        <f>IF(AND(Q132=M132,(U132="Reorder Required")=(N132="Reorder Required")),"OK","Mismatch")</f>
        <v/>
      </c>
      <c r="W132" s="99" t="n"/>
    </row>
    <row r="133">
      <c r="A133" s="99" t="inlineStr">
        <is>
          <t>INV00132</t>
        </is>
      </c>
      <c r="B133" s="99" t="inlineStr">
        <is>
          <t>OUT003</t>
        </is>
      </c>
      <c r="C133" s="99">
        <f>INDEX(Lookup!$B$2:$B$11,MATCH(B133,Lookup!$A$2:$A$11,0))</f>
        <v/>
      </c>
      <c r="D133" s="99" t="inlineStr">
        <is>
          <t>BP032</t>
        </is>
      </c>
      <c r="E133" s="99">
        <f>INDEX(Lookup!$E$2:$E$51,MATCH(D133,Lookup!$D$2:$D$51,0))</f>
        <v/>
      </c>
      <c r="F133" s="99">
        <f>INDEX(Lookup!$F$2:$F$51,MATCH(D133,Lookup!$D$2:$D$51,0))</f>
        <v/>
      </c>
      <c r="G133" s="100" t="n">
        <v>120</v>
      </c>
      <c r="H133" s="100" t="n">
        <v>61</v>
      </c>
      <c r="I133" s="100" t="n">
        <v>138</v>
      </c>
      <c r="J133" s="100" t="n">
        <v>5</v>
      </c>
      <c r="K133" s="100" t="n">
        <v>32</v>
      </c>
      <c r="L133" s="100" t="n">
        <v>1</v>
      </c>
      <c r="M133" s="100" t="n">
        <v>38</v>
      </c>
      <c r="N133" s="99" t="inlineStr">
        <is>
          <t>Healthy</t>
        </is>
      </c>
      <c r="O133" s="100">
        <f>G133+H133</f>
        <v/>
      </c>
      <c r="P133" s="100">
        <f>G133+H133-I133-J133</f>
        <v/>
      </c>
      <c r="Q133" s="100">
        <f>MAX(0,P133)</f>
        <v/>
      </c>
      <c r="R133" s="100">
        <f>MAX(0,-P133)</f>
        <v/>
      </c>
      <c r="S133" s="101">
        <f>IFERROR(J133/O133,0)</f>
        <v/>
      </c>
      <c r="T133" s="101">
        <f>IFERROR(I133/O133,0)</f>
        <v/>
      </c>
      <c r="U133" s="102">
        <f>IF(P133&lt;=K133,"Reorder Required","Stock Sufficient")</f>
        <v/>
      </c>
      <c r="V133" s="102">
        <f>IF(AND(Q133=M133,(U133="Reorder Required")=(N133="Reorder Required")),"OK","Mismatch")</f>
        <v/>
      </c>
      <c r="W133" s="99" t="n"/>
    </row>
    <row r="134">
      <c r="A134" s="99" t="inlineStr">
        <is>
          <t>INV00133</t>
        </is>
      </c>
      <c r="B134" s="99" t="inlineStr">
        <is>
          <t>OUT003</t>
        </is>
      </c>
      <c r="C134" s="99">
        <f>INDEX(Lookup!$B$2:$B$11,MATCH(B134,Lookup!$A$2:$A$11,0))</f>
        <v/>
      </c>
      <c r="D134" s="99" t="inlineStr">
        <is>
          <t>BP033</t>
        </is>
      </c>
      <c r="E134" s="99">
        <f>INDEX(Lookup!$E$2:$E$51,MATCH(D134,Lookup!$D$2:$D$51,0))</f>
        <v/>
      </c>
      <c r="F134" s="99">
        <f>INDEX(Lookup!$F$2:$F$51,MATCH(D134,Lookup!$D$2:$D$51,0))</f>
        <v/>
      </c>
      <c r="G134" s="100" t="n">
        <v>135</v>
      </c>
      <c r="H134" s="100" t="n">
        <v>55</v>
      </c>
      <c r="I134" s="100" t="n">
        <v>47</v>
      </c>
      <c r="J134" s="100" t="n">
        <v>8</v>
      </c>
      <c r="K134" s="100" t="n">
        <v>17</v>
      </c>
      <c r="L134" s="100" t="n">
        <v>3</v>
      </c>
      <c r="M134" s="100" t="n">
        <v>135</v>
      </c>
      <c r="N134" s="99" t="inlineStr">
        <is>
          <t>Healthy</t>
        </is>
      </c>
      <c r="O134" s="100">
        <f>G134+H134</f>
        <v/>
      </c>
      <c r="P134" s="100">
        <f>G134+H134-I134-J134</f>
        <v/>
      </c>
      <c r="Q134" s="100">
        <f>MAX(0,P134)</f>
        <v/>
      </c>
      <c r="R134" s="100">
        <f>MAX(0,-P134)</f>
        <v/>
      </c>
      <c r="S134" s="101">
        <f>IFERROR(J134/O134,0)</f>
        <v/>
      </c>
      <c r="T134" s="101">
        <f>IFERROR(I134/O134,0)</f>
        <v/>
      </c>
      <c r="U134" s="102">
        <f>IF(P134&lt;=K134,"Reorder Required","Stock Sufficient")</f>
        <v/>
      </c>
      <c r="V134" s="102">
        <f>IF(AND(Q134=M134,(U134="Reorder Required")=(N134="Reorder Required")),"OK","Mismatch")</f>
        <v/>
      </c>
      <c r="W134" s="99" t="n"/>
    </row>
    <row r="135">
      <c r="A135" s="99" t="inlineStr">
        <is>
          <t>INV00134</t>
        </is>
      </c>
      <c r="B135" s="99" t="inlineStr">
        <is>
          <t>OUT003</t>
        </is>
      </c>
      <c r="C135" s="99">
        <f>INDEX(Lookup!$B$2:$B$11,MATCH(B135,Lookup!$A$2:$A$11,0))</f>
        <v/>
      </c>
      <c r="D135" s="99" t="inlineStr">
        <is>
          <t>BP034</t>
        </is>
      </c>
      <c r="E135" s="99">
        <f>INDEX(Lookup!$E$2:$E$51,MATCH(D135,Lookup!$D$2:$D$51,0))</f>
        <v/>
      </c>
      <c r="F135" s="99">
        <f>INDEX(Lookup!$F$2:$F$51,MATCH(D135,Lookup!$D$2:$D$51,0))</f>
        <v/>
      </c>
      <c r="G135" s="100" t="n">
        <v>77</v>
      </c>
      <c r="H135" s="100" t="n">
        <v>22</v>
      </c>
      <c r="I135" s="100" t="n">
        <v>37</v>
      </c>
      <c r="J135" s="100" t="n">
        <v>6</v>
      </c>
      <c r="K135" s="100" t="n">
        <v>30</v>
      </c>
      <c r="L135" s="100" t="n">
        <v>2</v>
      </c>
      <c r="M135" s="100" t="n">
        <v>56</v>
      </c>
      <c r="N135" s="99" t="inlineStr">
        <is>
          <t>Healthy</t>
        </is>
      </c>
      <c r="O135" s="100">
        <f>G135+H135</f>
        <v/>
      </c>
      <c r="P135" s="100">
        <f>G135+H135-I135-J135</f>
        <v/>
      </c>
      <c r="Q135" s="100">
        <f>MAX(0,P135)</f>
        <v/>
      </c>
      <c r="R135" s="100">
        <f>MAX(0,-P135)</f>
        <v/>
      </c>
      <c r="S135" s="101">
        <f>IFERROR(J135/O135,0)</f>
        <v/>
      </c>
      <c r="T135" s="101">
        <f>IFERROR(I135/O135,0)</f>
        <v/>
      </c>
      <c r="U135" s="102">
        <f>IF(P135&lt;=K135,"Reorder Required","Stock Sufficient")</f>
        <v/>
      </c>
      <c r="V135" s="102">
        <f>IF(AND(Q135=M135,(U135="Reorder Required")=(N135="Reorder Required")),"OK","Mismatch")</f>
        <v/>
      </c>
      <c r="W135" s="99" t="n"/>
    </row>
    <row r="136">
      <c r="A136" s="99" t="inlineStr">
        <is>
          <t>INV00135</t>
        </is>
      </c>
      <c r="B136" s="99" t="inlineStr">
        <is>
          <t>OUT003</t>
        </is>
      </c>
      <c r="C136" s="99">
        <f>INDEX(Lookup!$B$2:$B$11,MATCH(B136,Lookup!$A$2:$A$11,0))</f>
        <v/>
      </c>
      <c r="D136" s="99" t="inlineStr">
        <is>
          <t>BP035</t>
        </is>
      </c>
      <c r="E136" s="99">
        <f>INDEX(Lookup!$E$2:$E$51,MATCH(D136,Lookup!$D$2:$D$51,0))</f>
        <v/>
      </c>
      <c r="F136" s="99">
        <f>INDEX(Lookup!$F$2:$F$51,MATCH(D136,Lookup!$D$2:$D$51,0))</f>
        <v/>
      </c>
      <c r="G136" s="100" t="n">
        <v>143</v>
      </c>
      <c r="H136" s="100" t="n">
        <v>73</v>
      </c>
      <c r="I136" s="100" t="n">
        <v>111</v>
      </c>
      <c r="J136" s="100" t="n">
        <v>6</v>
      </c>
      <c r="K136" s="100" t="n">
        <v>39</v>
      </c>
      <c r="L136" s="100" t="n">
        <v>3</v>
      </c>
      <c r="M136" s="100" t="n">
        <v>99</v>
      </c>
      <c r="N136" s="99" t="inlineStr">
        <is>
          <t>Healthy</t>
        </is>
      </c>
      <c r="O136" s="100">
        <f>G136+H136</f>
        <v/>
      </c>
      <c r="P136" s="100">
        <f>G136+H136-I136-J136</f>
        <v/>
      </c>
      <c r="Q136" s="100">
        <f>MAX(0,P136)</f>
        <v/>
      </c>
      <c r="R136" s="100">
        <f>MAX(0,-P136)</f>
        <v/>
      </c>
      <c r="S136" s="101">
        <f>IFERROR(J136/O136,0)</f>
        <v/>
      </c>
      <c r="T136" s="101">
        <f>IFERROR(I136/O136,0)</f>
        <v/>
      </c>
      <c r="U136" s="102">
        <f>IF(P136&lt;=K136,"Reorder Required","Stock Sufficient")</f>
        <v/>
      </c>
      <c r="V136" s="102">
        <f>IF(AND(Q136=M136,(U136="Reorder Required")=(N136="Reorder Required")),"OK","Mismatch")</f>
        <v/>
      </c>
      <c r="W136" s="99" t="n"/>
    </row>
    <row r="137">
      <c r="A137" s="99" t="inlineStr">
        <is>
          <t>INV00136</t>
        </is>
      </c>
      <c r="B137" s="99" t="inlineStr">
        <is>
          <t>OUT003</t>
        </is>
      </c>
      <c r="C137" s="99">
        <f>INDEX(Lookup!$B$2:$B$11,MATCH(B137,Lookup!$A$2:$A$11,0))</f>
        <v/>
      </c>
      <c r="D137" s="99" t="inlineStr">
        <is>
          <t>BP036</t>
        </is>
      </c>
      <c r="E137" s="99">
        <f>INDEX(Lookup!$E$2:$E$51,MATCH(D137,Lookup!$D$2:$D$51,0))</f>
        <v/>
      </c>
      <c r="F137" s="99">
        <f>INDEX(Lookup!$F$2:$F$51,MATCH(D137,Lookup!$D$2:$D$51,0))</f>
        <v/>
      </c>
      <c r="G137" s="100" t="n">
        <v>53</v>
      </c>
      <c r="H137" s="100" t="n">
        <v>68</v>
      </c>
      <c r="I137" s="100" t="n">
        <v>50</v>
      </c>
      <c r="J137" s="100" t="n">
        <v>4</v>
      </c>
      <c r="K137" s="100" t="n">
        <v>34</v>
      </c>
      <c r="L137" s="100" t="n">
        <v>5</v>
      </c>
      <c r="M137" s="100" t="n">
        <v>67</v>
      </c>
      <c r="N137" s="99" t="inlineStr">
        <is>
          <t>Healthy</t>
        </is>
      </c>
      <c r="O137" s="100">
        <f>G137+H137</f>
        <v/>
      </c>
      <c r="P137" s="100">
        <f>G137+H137-I137-J137</f>
        <v/>
      </c>
      <c r="Q137" s="100">
        <f>MAX(0,P137)</f>
        <v/>
      </c>
      <c r="R137" s="100">
        <f>MAX(0,-P137)</f>
        <v/>
      </c>
      <c r="S137" s="101">
        <f>IFERROR(J137/O137,0)</f>
        <v/>
      </c>
      <c r="T137" s="101">
        <f>IFERROR(I137/O137,0)</f>
        <v/>
      </c>
      <c r="U137" s="102">
        <f>IF(P137&lt;=K137,"Reorder Required","Stock Sufficient")</f>
        <v/>
      </c>
      <c r="V137" s="102">
        <f>IF(AND(Q137=M137,(U137="Reorder Required")=(N137="Reorder Required")),"OK","Mismatch")</f>
        <v/>
      </c>
      <c r="W137" s="99" t="n"/>
    </row>
    <row r="138">
      <c r="A138" s="99" t="inlineStr">
        <is>
          <t>INV00137</t>
        </is>
      </c>
      <c r="B138" s="99" t="inlineStr">
        <is>
          <t>OUT003</t>
        </is>
      </c>
      <c r="C138" s="99">
        <f>INDEX(Lookup!$B$2:$B$11,MATCH(B138,Lookup!$A$2:$A$11,0))</f>
        <v/>
      </c>
      <c r="D138" s="99" t="inlineStr">
        <is>
          <t>BP037</t>
        </is>
      </c>
      <c r="E138" s="99">
        <f>INDEX(Lookup!$E$2:$E$51,MATCH(D138,Lookup!$D$2:$D$51,0))</f>
        <v/>
      </c>
      <c r="F138" s="99">
        <f>INDEX(Lookup!$F$2:$F$51,MATCH(D138,Lookup!$D$2:$D$51,0))</f>
        <v/>
      </c>
      <c r="G138" s="100" t="n">
        <v>63</v>
      </c>
      <c r="H138" s="100" t="n">
        <v>76</v>
      </c>
      <c r="I138" s="100" t="n">
        <v>105</v>
      </c>
      <c r="J138" s="100" t="n">
        <v>3</v>
      </c>
      <c r="K138" s="100" t="n">
        <v>16</v>
      </c>
      <c r="L138" s="100" t="n">
        <v>1</v>
      </c>
      <c r="M138" s="100" t="n">
        <v>31</v>
      </c>
      <c r="N138" s="99" t="inlineStr">
        <is>
          <t>Healthy</t>
        </is>
      </c>
      <c r="O138" s="100">
        <f>G138+H138</f>
        <v/>
      </c>
      <c r="P138" s="100">
        <f>G138+H138-I138-J138</f>
        <v/>
      </c>
      <c r="Q138" s="100">
        <f>MAX(0,P138)</f>
        <v/>
      </c>
      <c r="R138" s="100">
        <f>MAX(0,-P138)</f>
        <v/>
      </c>
      <c r="S138" s="101">
        <f>IFERROR(J138/O138,0)</f>
        <v/>
      </c>
      <c r="T138" s="101">
        <f>IFERROR(I138/O138,0)</f>
        <v/>
      </c>
      <c r="U138" s="102">
        <f>IF(P138&lt;=K138,"Reorder Required","Stock Sufficient")</f>
        <v/>
      </c>
      <c r="V138" s="102">
        <f>IF(AND(Q138=M138,(U138="Reorder Required")=(N138="Reorder Required")),"OK","Mismatch")</f>
        <v/>
      </c>
      <c r="W138" s="99" t="n"/>
    </row>
    <row r="139">
      <c r="A139" s="99" t="inlineStr">
        <is>
          <t>INV00138</t>
        </is>
      </c>
      <c r="B139" s="99" t="inlineStr">
        <is>
          <t>OUT003</t>
        </is>
      </c>
      <c r="C139" s="99">
        <f>INDEX(Lookup!$B$2:$B$11,MATCH(B139,Lookup!$A$2:$A$11,0))</f>
        <v/>
      </c>
      <c r="D139" s="99" t="inlineStr">
        <is>
          <t>BP038</t>
        </is>
      </c>
      <c r="E139" s="99">
        <f>INDEX(Lookup!$E$2:$E$51,MATCH(D139,Lookup!$D$2:$D$51,0))</f>
        <v/>
      </c>
      <c r="F139" s="99">
        <f>INDEX(Lookup!$F$2:$F$51,MATCH(D139,Lookup!$D$2:$D$51,0))</f>
        <v/>
      </c>
      <c r="G139" s="100" t="n">
        <v>146</v>
      </c>
      <c r="H139" s="100" t="n">
        <v>24</v>
      </c>
      <c r="I139" s="100" t="n">
        <v>98</v>
      </c>
      <c r="J139" s="100" t="n">
        <v>4</v>
      </c>
      <c r="K139" s="100" t="n">
        <v>40</v>
      </c>
      <c r="L139" s="100" t="n">
        <v>3</v>
      </c>
      <c r="M139" s="100" t="n">
        <v>68</v>
      </c>
      <c r="N139" s="99" t="inlineStr">
        <is>
          <t>Healthy</t>
        </is>
      </c>
      <c r="O139" s="100">
        <f>G139+H139</f>
        <v/>
      </c>
      <c r="P139" s="100">
        <f>G139+H139-I139-J139</f>
        <v/>
      </c>
      <c r="Q139" s="100">
        <f>MAX(0,P139)</f>
        <v/>
      </c>
      <c r="R139" s="100">
        <f>MAX(0,-P139)</f>
        <v/>
      </c>
      <c r="S139" s="101">
        <f>IFERROR(J139/O139,0)</f>
        <v/>
      </c>
      <c r="T139" s="101">
        <f>IFERROR(I139/O139,0)</f>
        <v/>
      </c>
      <c r="U139" s="102">
        <f>IF(P139&lt;=K139,"Reorder Required","Stock Sufficient")</f>
        <v/>
      </c>
      <c r="V139" s="102">
        <f>IF(AND(Q139=M139,(U139="Reorder Required")=(N139="Reorder Required")),"OK","Mismatch")</f>
        <v/>
      </c>
      <c r="W139" s="99" t="n"/>
    </row>
    <row r="140">
      <c r="A140" s="99" t="inlineStr">
        <is>
          <t>INV00139</t>
        </is>
      </c>
      <c r="B140" s="99" t="inlineStr">
        <is>
          <t>OUT003</t>
        </is>
      </c>
      <c r="C140" s="99">
        <f>INDEX(Lookup!$B$2:$B$11,MATCH(B140,Lookup!$A$2:$A$11,0))</f>
        <v/>
      </c>
      <c r="D140" s="99" t="inlineStr">
        <is>
          <t>BP039</t>
        </is>
      </c>
      <c r="E140" s="99">
        <f>INDEX(Lookup!$E$2:$E$51,MATCH(D140,Lookup!$D$2:$D$51,0))</f>
        <v/>
      </c>
      <c r="F140" s="99">
        <f>INDEX(Lookup!$F$2:$F$51,MATCH(D140,Lookup!$D$2:$D$51,0))</f>
        <v/>
      </c>
      <c r="G140" s="100" t="n">
        <v>101</v>
      </c>
      <c r="H140" s="100" t="n">
        <v>58</v>
      </c>
      <c r="I140" s="100" t="n">
        <v>100</v>
      </c>
      <c r="J140" s="100" t="n">
        <v>6</v>
      </c>
      <c r="K140" s="100" t="n">
        <v>15</v>
      </c>
      <c r="L140" s="100" t="n">
        <v>2</v>
      </c>
      <c r="M140" s="100" t="n">
        <v>53</v>
      </c>
      <c r="N140" s="99" t="inlineStr">
        <is>
          <t>Healthy</t>
        </is>
      </c>
      <c r="O140" s="100">
        <f>G140+H140</f>
        <v/>
      </c>
      <c r="P140" s="100">
        <f>G140+H140-I140-J140</f>
        <v/>
      </c>
      <c r="Q140" s="100">
        <f>MAX(0,P140)</f>
        <v/>
      </c>
      <c r="R140" s="100">
        <f>MAX(0,-P140)</f>
        <v/>
      </c>
      <c r="S140" s="101">
        <f>IFERROR(J140/O140,0)</f>
        <v/>
      </c>
      <c r="T140" s="101">
        <f>IFERROR(I140/O140,0)</f>
        <v/>
      </c>
      <c r="U140" s="102">
        <f>IF(P140&lt;=K140,"Reorder Required","Stock Sufficient")</f>
        <v/>
      </c>
      <c r="V140" s="102">
        <f>IF(AND(Q140=M140,(U140="Reorder Required")=(N140="Reorder Required")),"OK","Mismatch")</f>
        <v/>
      </c>
      <c r="W140" s="99" t="n"/>
    </row>
    <row r="141">
      <c r="A141" s="99" t="inlineStr">
        <is>
          <t>INV00140</t>
        </is>
      </c>
      <c r="B141" s="99" t="inlineStr">
        <is>
          <t>OUT003</t>
        </is>
      </c>
      <c r="C141" s="99">
        <f>INDEX(Lookup!$B$2:$B$11,MATCH(B141,Lookup!$A$2:$A$11,0))</f>
        <v/>
      </c>
      <c r="D141" s="99" t="inlineStr">
        <is>
          <t>BP040</t>
        </is>
      </c>
      <c r="E141" s="99">
        <f>INDEX(Lookup!$E$2:$E$51,MATCH(D141,Lookup!$D$2:$D$51,0))</f>
        <v/>
      </c>
      <c r="F141" s="99">
        <f>INDEX(Lookup!$F$2:$F$51,MATCH(D141,Lookup!$D$2:$D$51,0))</f>
        <v/>
      </c>
      <c r="G141" s="100" t="n">
        <v>47</v>
      </c>
      <c r="H141" s="100" t="n">
        <v>42</v>
      </c>
      <c r="I141" s="100" t="n">
        <v>96</v>
      </c>
      <c r="J141" s="100" t="n">
        <v>4</v>
      </c>
      <c r="K141" s="100" t="n">
        <v>40</v>
      </c>
      <c r="L141" s="100" t="n">
        <v>4</v>
      </c>
      <c r="M141" s="100" t="n">
        <v>0</v>
      </c>
      <c r="N141" s="99" t="inlineStr">
        <is>
          <t>Reorder Required</t>
        </is>
      </c>
      <c r="O141" s="100">
        <f>G141+H141</f>
        <v/>
      </c>
      <c r="P141" s="100">
        <f>G141+H141-I141-J141</f>
        <v/>
      </c>
      <c r="Q141" s="100">
        <f>MAX(0,P141)</f>
        <v/>
      </c>
      <c r="R141" s="100">
        <f>MAX(0,-P141)</f>
        <v/>
      </c>
      <c r="S141" s="101">
        <f>IFERROR(J141/O141,0)</f>
        <v/>
      </c>
      <c r="T141" s="101">
        <f>IFERROR(I141/O141,0)</f>
        <v/>
      </c>
      <c r="U141" s="102">
        <f>IF(P141&lt;=K141,"Reorder Required","Stock Sufficient")</f>
        <v/>
      </c>
      <c r="V141" s="102">
        <f>IF(AND(Q141=M141,(U141="Reorder Required")=(N141="Reorder Required")),"OK","Mismatch")</f>
        <v/>
      </c>
      <c r="W141" s="99" t="inlineStr">
        <is>
          <t>Restock immediately</t>
        </is>
      </c>
    </row>
    <row r="142">
      <c r="A142" s="99" t="inlineStr">
        <is>
          <t>INV00141</t>
        </is>
      </c>
      <c r="B142" s="99" t="inlineStr">
        <is>
          <t>OUT003</t>
        </is>
      </c>
      <c r="C142" s="99">
        <f>INDEX(Lookup!$B$2:$B$11,MATCH(B142,Lookup!$A$2:$A$11,0))</f>
        <v/>
      </c>
      <c r="D142" s="99" t="inlineStr">
        <is>
          <t>BP041</t>
        </is>
      </c>
      <c r="E142" s="99">
        <f>INDEX(Lookup!$E$2:$E$51,MATCH(D142,Lookup!$D$2:$D$51,0))</f>
        <v/>
      </c>
      <c r="F142" s="99">
        <f>INDEX(Lookup!$F$2:$F$51,MATCH(D142,Lookup!$D$2:$D$51,0))</f>
        <v/>
      </c>
      <c r="G142" s="100" t="n">
        <v>70</v>
      </c>
      <c r="H142" s="100" t="n">
        <v>36</v>
      </c>
      <c r="I142" s="100" t="n">
        <v>82</v>
      </c>
      <c r="J142" s="100" t="n">
        <v>1</v>
      </c>
      <c r="K142" s="100" t="n">
        <v>32</v>
      </c>
      <c r="L142" s="100" t="n">
        <v>2</v>
      </c>
      <c r="M142" s="100" t="n">
        <v>23</v>
      </c>
      <c r="N142" s="99" t="inlineStr">
        <is>
          <t>Reorder Required</t>
        </is>
      </c>
      <c r="O142" s="100">
        <f>G142+H142</f>
        <v/>
      </c>
      <c r="P142" s="100">
        <f>G142+H142-I142-J142</f>
        <v/>
      </c>
      <c r="Q142" s="100">
        <f>MAX(0,P142)</f>
        <v/>
      </c>
      <c r="R142" s="100">
        <f>MAX(0,-P142)</f>
        <v/>
      </c>
      <c r="S142" s="101">
        <f>IFERROR(J142/O142,0)</f>
        <v/>
      </c>
      <c r="T142" s="101">
        <f>IFERROR(I142/O142,0)</f>
        <v/>
      </c>
      <c r="U142" s="102">
        <f>IF(P142&lt;=K142,"Reorder Required","Stock Sufficient")</f>
        <v/>
      </c>
      <c r="V142" s="102">
        <f>IF(AND(Q142=M142,(U142="Reorder Required")=(N142="Reorder Required")),"OK","Mismatch")</f>
        <v/>
      </c>
      <c r="W142" s="99" t="inlineStr">
        <is>
          <t>Restock immediately</t>
        </is>
      </c>
    </row>
    <row r="143">
      <c r="A143" s="99" t="inlineStr">
        <is>
          <t>INV00142</t>
        </is>
      </c>
      <c r="B143" s="99" t="inlineStr">
        <is>
          <t>OUT003</t>
        </is>
      </c>
      <c r="C143" s="99">
        <f>INDEX(Lookup!$B$2:$B$11,MATCH(B143,Lookup!$A$2:$A$11,0))</f>
        <v/>
      </c>
      <c r="D143" s="99" t="inlineStr">
        <is>
          <t>BP042</t>
        </is>
      </c>
      <c r="E143" s="99">
        <f>INDEX(Lookup!$E$2:$E$51,MATCH(D143,Lookup!$D$2:$D$51,0))</f>
        <v/>
      </c>
      <c r="F143" s="99">
        <f>INDEX(Lookup!$F$2:$F$51,MATCH(D143,Lookup!$D$2:$D$51,0))</f>
        <v/>
      </c>
      <c r="G143" s="100" t="n">
        <v>76</v>
      </c>
      <c r="H143" s="100" t="n">
        <v>38</v>
      </c>
      <c r="I143" s="100" t="n">
        <v>117</v>
      </c>
      <c r="J143" s="100" t="n">
        <v>0</v>
      </c>
      <c r="K143" s="100" t="n">
        <v>26</v>
      </c>
      <c r="L143" s="100" t="n">
        <v>3</v>
      </c>
      <c r="M143" s="100" t="n">
        <v>0</v>
      </c>
      <c r="N143" s="99" t="inlineStr">
        <is>
          <t>Reorder Required</t>
        </is>
      </c>
      <c r="O143" s="100">
        <f>G143+H143</f>
        <v/>
      </c>
      <c r="P143" s="100">
        <f>G143+H143-I143-J143</f>
        <v/>
      </c>
      <c r="Q143" s="100">
        <f>MAX(0,P143)</f>
        <v/>
      </c>
      <c r="R143" s="100">
        <f>MAX(0,-P143)</f>
        <v/>
      </c>
      <c r="S143" s="101">
        <f>IFERROR(J143/O143,0)</f>
        <v/>
      </c>
      <c r="T143" s="101">
        <f>IFERROR(I143/O143,0)</f>
        <v/>
      </c>
      <c r="U143" s="102">
        <f>IF(P143&lt;=K143,"Reorder Required","Stock Sufficient")</f>
        <v/>
      </c>
      <c r="V143" s="102">
        <f>IF(AND(Q143=M143,(U143="Reorder Required")=(N143="Reorder Required")),"OK","Mismatch")</f>
        <v/>
      </c>
      <c r="W143" s="99" t="inlineStr">
        <is>
          <t>Restock immediately</t>
        </is>
      </c>
    </row>
    <row r="144">
      <c r="A144" s="99" t="inlineStr">
        <is>
          <t>INV00143</t>
        </is>
      </c>
      <c r="B144" s="99" t="inlineStr">
        <is>
          <t>OUT003</t>
        </is>
      </c>
      <c r="C144" s="99">
        <f>INDEX(Lookup!$B$2:$B$11,MATCH(B144,Lookup!$A$2:$A$11,0))</f>
        <v/>
      </c>
      <c r="D144" s="99" t="inlineStr">
        <is>
          <t>BP043</t>
        </is>
      </c>
      <c r="E144" s="99">
        <f>INDEX(Lookup!$E$2:$E$51,MATCH(D144,Lookup!$D$2:$D$51,0))</f>
        <v/>
      </c>
      <c r="F144" s="99">
        <f>INDEX(Lookup!$F$2:$F$51,MATCH(D144,Lookup!$D$2:$D$51,0))</f>
        <v/>
      </c>
      <c r="G144" s="100" t="n">
        <v>125</v>
      </c>
      <c r="H144" s="100" t="n">
        <v>30</v>
      </c>
      <c r="I144" s="100" t="n">
        <v>43</v>
      </c>
      <c r="J144" s="100" t="n">
        <v>2</v>
      </c>
      <c r="K144" s="100" t="n">
        <v>22</v>
      </c>
      <c r="L144" s="100" t="n">
        <v>5</v>
      </c>
      <c r="M144" s="100" t="n">
        <v>110</v>
      </c>
      <c r="N144" s="99" t="inlineStr">
        <is>
          <t>Healthy</t>
        </is>
      </c>
      <c r="O144" s="100">
        <f>G144+H144</f>
        <v/>
      </c>
      <c r="P144" s="100">
        <f>G144+H144-I144-J144</f>
        <v/>
      </c>
      <c r="Q144" s="100">
        <f>MAX(0,P144)</f>
        <v/>
      </c>
      <c r="R144" s="100">
        <f>MAX(0,-P144)</f>
        <v/>
      </c>
      <c r="S144" s="101">
        <f>IFERROR(J144/O144,0)</f>
        <v/>
      </c>
      <c r="T144" s="101">
        <f>IFERROR(I144/O144,0)</f>
        <v/>
      </c>
      <c r="U144" s="102">
        <f>IF(P144&lt;=K144,"Reorder Required","Stock Sufficient")</f>
        <v/>
      </c>
      <c r="V144" s="102">
        <f>IF(AND(Q144=M144,(U144="Reorder Required")=(N144="Reorder Required")),"OK","Mismatch")</f>
        <v/>
      </c>
      <c r="W144" s="99" t="n"/>
    </row>
    <row r="145">
      <c r="A145" s="99" t="inlineStr">
        <is>
          <t>INV00144</t>
        </is>
      </c>
      <c r="B145" s="99" t="inlineStr">
        <is>
          <t>OUT003</t>
        </is>
      </c>
      <c r="C145" s="99">
        <f>INDEX(Lookup!$B$2:$B$11,MATCH(B145,Lookup!$A$2:$A$11,0))</f>
        <v/>
      </c>
      <c r="D145" s="99" t="inlineStr">
        <is>
          <t>BP044</t>
        </is>
      </c>
      <c r="E145" s="99">
        <f>INDEX(Lookup!$E$2:$E$51,MATCH(D145,Lookup!$D$2:$D$51,0))</f>
        <v/>
      </c>
      <c r="F145" s="99">
        <f>INDEX(Lookup!$F$2:$F$51,MATCH(D145,Lookup!$D$2:$D$51,0))</f>
        <v/>
      </c>
      <c r="G145" s="100" t="n">
        <v>73</v>
      </c>
      <c r="H145" s="100" t="n">
        <v>55</v>
      </c>
      <c r="I145" s="100" t="n">
        <v>129</v>
      </c>
      <c r="J145" s="100" t="n">
        <v>3</v>
      </c>
      <c r="K145" s="100" t="n">
        <v>23</v>
      </c>
      <c r="L145" s="100" t="n">
        <v>1</v>
      </c>
      <c r="M145" s="100" t="n">
        <v>0</v>
      </c>
      <c r="N145" s="99" t="inlineStr">
        <is>
          <t>Reorder Required</t>
        </is>
      </c>
      <c r="O145" s="100">
        <f>G145+H145</f>
        <v/>
      </c>
      <c r="P145" s="100">
        <f>G145+H145-I145-J145</f>
        <v/>
      </c>
      <c r="Q145" s="100">
        <f>MAX(0,P145)</f>
        <v/>
      </c>
      <c r="R145" s="100">
        <f>MAX(0,-P145)</f>
        <v/>
      </c>
      <c r="S145" s="101">
        <f>IFERROR(J145/O145,0)</f>
        <v/>
      </c>
      <c r="T145" s="101">
        <f>IFERROR(I145/O145,0)</f>
        <v/>
      </c>
      <c r="U145" s="102">
        <f>IF(P145&lt;=K145,"Reorder Required","Stock Sufficient")</f>
        <v/>
      </c>
      <c r="V145" s="102">
        <f>IF(AND(Q145=M145,(U145="Reorder Required")=(N145="Reorder Required")),"OK","Mismatch")</f>
        <v/>
      </c>
      <c r="W145" s="99" t="inlineStr">
        <is>
          <t>Restock immediately</t>
        </is>
      </c>
    </row>
    <row r="146">
      <c r="A146" s="99" t="inlineStr">
        <is>
          <t>INV00145</t>
        </is>
      </c>
      <c r="B146" s="99" t="inlineStr">
        <is>
          <t>OUT003</t>
        </is>
      </c>
      <c r="C146" s="99">
        <f>INDEX(Lookup!$B$2:$B$11,MATCH(B146,Lookup!$A$2:$A$11,0))</f>
        <v/>
      </c>
      <c r="D146" s="99" t="inlineStr">
        <is>
          <t>BP045</t>
        </is>
      </c>
      <c r="E146" s="99">
        <f>INDEX(Lookup!$E$2:$E$51,MATCH(D146,Lookup!$D$2:$D$51,0))</f>
        <v/>
      </c>
      <c r="F146" s="99">
        <f>INDEX(Lookup!$F$2:$F$51,MATCH(D146,Lookup!$D$2:$D$51,0))</f>
        <v/>
      </c>
      <c r="G146" s="100" t="n">
        <v>91</v>
      </c>
      <c r="H146" s="100" t="n">
        <v>39</v>
      </c>
      <c r="I146" s="100" t="n">
        <v>72</v>
      </c>
      <c r="J146" s="100" t="n">
        <v>1</v>
      </c>
      <c r="K146" s="100" t="n">
        <v>38</v>
      </c>
      <c r="L146" s="100" t="n">
        <v>5</v>
      </c>
      <c r="M146" s="100" t="n">
        <v>57</v>
      </c>
      <c r="N146" s="99" t="inlineStr">
        <is>
          <t>Healthy</t>
        </is>
      </c>
      <c r="O146" s="100">
        <f>G146+H146</f>
        <v/>
      </c>
      <c r="P146" s="100">
        <f>G146+H146-I146-J146</f>
        <v/>
      </c>
      <c r="Q146" s="100">
        <f>MAX(0,P146)</f>
        <v/>
      </c>
      <c r="R146" s="100">
        <f>MAX(0,-P146)</f>
        <v/>
      </c>
      <c r="S146" s="101">
        <f>IFERROR(J146/O146,0)</f>
        <v/>
      </c>
      <c r="T146" s="101">
        <f>IFERROR(I146/O146,0)</f>
        <v/>
      </c>
      <c r="U146" s="102">
        <f>IF(P146&lt;=K146,"Reorder Required","Stock Sufficient")</f>
        <v/>
      </c>
      <c r="V146" s="102">
        <f>IF(AND(Q146=M146,(U146="Reorder Required")=(N146="Reorder Required")),"OK","Mismatch")</f>
        <v/>
      </c>
      <c r="W146" s="99" t="n"/>
    </row>
    <row r="147">
      <c r="A147" s="99" t="inlineStr">
        <is>
          <t>INV00146</t>
        </is>
      </c>
      <c r="B147" s="99" t="inlineStr">
        <is>
          <t>OUT003</t>
        </is>
      </c>
      <c r="C147" s="99">
        <f>INDEX(Lookup!$B$2:$B$11,MATCH(B147,Lookup!$A$2:$A$11,0))</f>
        <v/>
      </c>
      <c r="D147" s="99" t="inlineStr">
        <is>
          <t>BP046</t>
        </is>
      </c>
      <c r="E147" s="99">
        <f>INDEX(Lookup!$E$2:$E$51,MATCH(D147,Lookup!$D$2:$D$51,0))</f>
        <v/>
      </c>
      <c r="F147" s="99">
        <f>INDEX(Lookup!$F$2:$F$51,MATCH(D147,Lookup!$D$2:$D$51,0))</f>
        <v/>
      </c>
      <c r="G147" s="100" t="n">
        <v>118</v>
      </c>
      <c r="H147" s="100" t="n">
        <v>68</v>
      </c>
      <c r="I147" s="100" t="n">
        <v>67</v>
      </c>
      <c r="J147" s="100" t="n">
        <v>1</v>
      </c>
      <c r="K147" s="100" t="n">
        <v>25</v>
      </c>
      <c r="L147" s="100" t="n">
        <v>1</v>
      </c>
      <c r="M147" s="100" t="n">
        <v>118</v>
      </c>
      <c r="N147" s="99" t="inlineStr">
        <is>
          <t>Healthy</t>
        </is>
      </c>
      <c r="O147" s="100">
        <f>G147+H147</f>
        <v/>
      </c>
      <c r="P147" s="100">
        <f>G147+H147-I147-J147</f>
        <v/>
      </c>
      <c r="Q147" s="100">
        <f>MAX(0,P147)</f>
        <v/>
      </c>
      <c r="R147" s="100">
        <f>MAX(0,-P147)</f>
        <v/>
      </c>
      <c r="S147" s="101">
        <f>IFERROR(J147/O147,0)</f>
        <v/>
      </c>
      <c r="T147" s="101">
        <f>IFERROR(I147/O147,0)</f>
        <v/>
      </c>
      <c r="U147" s="102">
        <f>IF(P147&lt;=K147,"Reorder Required","Stock Sufficient")</f>
        <v/>
      </c>
      <c r="V147" s="102">
        <f>IF(AND(Q147=M147,(U147="Reorder Required")=(N147="Reorder Required")),"OK","Mismatch")</f>
        <v/>
      </c>
      <c r="W147" s="99" t="n"/>
    </row>
    <row r="148">
      <c r="A148" s="99" t="inlineStr">
        <is>
          <t>INV00147</t>
        </is>
      </c>
      <c r="B148" s="99" t="inlineStr">
        <is>
          <t>OUT003</t>
        </is>
      </c>
      <c r="C148" s="99">
        <f>INDEX(Lookup!$B$2:$B$11,MATCH(B148,Lookup!$A$2:$A$11,0))</f>
        <v/>
      </c>
      <c r="D148" s="99" t="inlineStr">
        <is>
          <t>BP047</t>
        </is>
      </c>
      <c r="E148" s="99">
        <f>INDEX(Lookup!$E$2:$E$51,MATCH(D148,Lookup!$D$2:$D$51,0))</f>
        <v/>
      </c>
      <c r="F148" s="99">
        <f>INDEX(Lookup!$F$2:$F$51,MATCH(D148,Lookup!$D$2:$D$51,0))</f>
        <v/>
      </c>
      <c r="G148" s="100" t="n">
        <v>85</v>
      </c>
      <c r="H148" s="100" t="n">
        <v>20</v>
      </c>
      <c r="I148" s="100" t="n">
        <v>137</v>
      </c>
      <c r="J148" s="100" t="n">
        <v>0</v>
      </c>
      <c r="K148" s="100" t="n">
        <v>18</v>
      </c>
      <c r="L148" s="100" t="n">
        <v>3</v>
      </c>
      <c r="M148" s="100" t="n">
        <v>0</v>
      </c>
      <c r="N148" s="99" t="inlineStr">
        <is>
          <t>Reorder Required</t>
        </is>
      </c>
      <c r="O148" s="100">
        <f>G148+H148</f>
        <v/>
      </c>
      <c r="P148" s="100">
        <f>G148+H148-I148-J148</f>
        <v/>
      </c>
      <c r="Q148" s="100">
        <f>MAX(0,P148)</f>
        <v/>
      </c>
      <c r="R148" s="100">
        <f>MAX(0,-P148)</f>
        <v/>
      </c>
      <c r="S148" s="101">
        <f>IFERROR(J148/O148,0)</f>
        <v/>
      </c>
      <c r="T148" s="101">
        <f>IFERROR(I148/O148,0)</f>
        <v/>
      </c>
      <c r="U148" s="102">
        <f>IF(P148&lt;=K148,"Reorder Required","Stock Sufficient")</f>
        <v/>
      </c>
      <c r="V148" s="102">
        <f>IF(AND(Q148=M148,(U148="Reorder Required")=(N148="Reorder Required")),"OK","Mismatch")</f>
        <v/>
      </c>
      <c r="W148" s="99" t="inlineStr">
        <is>
          <t>Restock immediately</t>
        </is>
      </c>
    </row>
    <row r="149">
      <c r="A149" s="99" t="inlineStr">
        <is>
          <t>INV00148</t>
        </is>
      </c>
      <c r="B149" s="99" t="inlineStr">
        <is>
          <t>OUT003</t>
        </is>
      </c>
      <c r="C149" s="99">
        <f>INDEX(Lookup!$B$2:$B$11,MATCH(B149,Lookup!$A$2:$A$11,0))</f>
        <v/>
      </c>
      <c r="D149" s="99" t="inlineStr">
        <is>
          <t>BP048</t>
        </is>
      </c>
      <c r="E149" s="99">
        <f>INDEX(Lookup!$E$2:$E$51,MATCH(D149,Lookup!$D$2:$D$51,0))</f>
        <v/>
      </c>
      <c r="F149" s="99">
        <f>INDEX(Lookup!$F$2:$F$51,MATCH(D149,Lookup!$D$2:$D$51,0))</f>
        <v/>
      </c>
      <c r="G149" s="100" t="n">
        <v>143</v>
      </c>
      <c r="H149" s="100" t="n">
        <v>42</v>
      </c>
      <c r="I149" s="100" t="n">
        <v>68</v>
      </c>
      <c r="J149" s="100" t="n">
        <v>1</v>
      </c>
      <c r="K149" s="100" t="n">
        <v>31</v>
      </c>
      <c r="L149" s="100" t="n">
        <v>5</v>
      </c>
      <c r="M149" s="100" t="n">
        <v>116</v>
      </c>
      <c r="N149" s="99" t="inlineStr">
        <is>
          <t>Healthy</t>
        </is>
      </c>
      <c r="O149" s="100">
        <f>G149+H149</f>
        <v/>
      </c>
      <c r="P149" s="100">
        <f>G149+H149-I149-J149</f>
        <v/>
      </c>
      <c r="Q149" s="100">
        <f>MAX(0,P149)</f>
        <v/>
      </c>
      <c r="R149" s="100">
        <f>MAX(0,-P149)</f>
        <v/>
      </c>
      <c r="S149" s="101">
        <f>IFERROR(J149/O149,0)</f>
        <v/>
      </c>
      <c r="T149" s="101">
        <f>IFERROR(I149/O149,0)</f>
        <v/>
      </c>
      <c r="U149" s="102">
        <f>IF(P149&lt;=K149,"Reorder Required","Stock Sufficient")</f>
        <v/>
      </c>
      <c r="V149" s="102">
        <f>IF(AND(Q149=M149,(U149="Reorder Required")=(N149="Reorder Required")),"OK","Mismatch")</f>
        <v/>
      </c>
      <c r="W149" s="99" t="n"/>
    </row>
    <row r="150">
      <c r="A150" s="99" t="inlineStr">
        <is>
          <t>INV00149</t>
        </is>
      </c>
      <c r="B150" s="99" t="inlineStr">
        <is>
          <t>OUT003</t>
        </is>
      </c>
      <c r="C150" s="99">
        <f>INDEX(Lookup!$B$2:$B$11,MATCH(B150,Lookup!$A$2:$A$11,0))</f>
        <v/>
      </c>
      <c r="D150" s="99" t="inlineStr">
        <is>
          <t>BP049</t>
        </is>
      </c>
      <c r="E150" s="99">
        <f>INDEX(Lookup!$E$2:$E$51,MATCH(D150,Lookup!$D$2:$D$51,0))</f>
        <v/>
      </c>
      <c r="F150" s="99">
        <f>INDEX(Lookup!$F$2:$F$51,MATCH(D150,Lookup!$D$2:$D$51,0))</f>
        <v/>
      </c>
      <c r="G150" s="100" t="n">
        <v>114</v>
      </c>
      <c r="H150" s="100" t="n">
        <v>71</v>
      </c>
      <c r="I150" s="100" t="n">
        <v>74</v>
      </c>
      <c r="J150" s="100" t="n">
        <v>1</v>
      </c>
      <c r="K150" s="100" t="n">
        <v>40</v>
      </c>
      <c r="L150" s="100" t="n">
        <v>4</v>
      </c>
      <c r="M150" s="100" t="n">
        <v>110</v>
      </c>
      <c r="N150" s="99" t="inlineStr">
        <is>
          <t>Healthy</t>
        </is>
      </c>
      <c r="O150" s="100">
        <f>G150+H150</f>
        <v/>
      </c>
      <c r="P150" s="100">
        <f>G150+H150-I150-J150</f>
        <v/>
      </c>
      <c r="Q150" s="100">
        <f>MAX(0,P150)</f>
        <v/>
      </c>
      <c r="R150" s="100">
        <f>MAX(0,-P150)</f>
        <v/>
      </c>
      <c r="S150" s="101">
        <f>IFERROR(J150/O150,0)</f>
        <v/>
      </c>
      <c r="T150" s="101">
        <f>IFERROR(I150/O150,0)</f>
        <v/>
      </c>
      <c r="U150" s="102">
        <f>IF(P150&lt;=K150,"Reorder Required","Stock Sufficient")</f>
        <v/>
      </c>
      <c r="V150" s="102">
        <f>IF(AND(Q150=M150,(U150="Reorder Required")=(N150="Reorder Required")),"OK","Mismatch")</f>
        <v/>
      </c>
      <c r="W150" s="99" t="n"/>
    </row>
    <row r="151">
      <c r="A151" s="99" t="inlineStr">
        <is>
          <t>INV00150</t>
        </is>
      </c>
      <c r="B151" s="99" t="inlineStr">
        <is>
          <t>OUT003</t>
        </is>
      </c>
      <c r="C151" s="99">
        <f>INDEX(Lookup!$B$2:$B$11,MATCH(B151,Lookup!$A$2:$A$11,0))</f>
        <v/>
      </c>
      <c r="D151" s="99" t="inlineStr">
        <is>
          <t>BP050</t>
        </is>
      </c>
      <c r="E151" s="99">
        <f>INDEX(Lookup!$E$2:$E$51,MATCH(D151,Lookup!$D$2:$D$51,0))</f>
        <v/>
      </c>
      <c r="F151" s="99">
        <f>INDEX(Lookup!$F$2:$F$51,MATCH(D151,Lookup!$D$2:$D$51,0))</f>
        <v/>
      </c>
      <c r="G151" s="100" t="n">
        <v>97</v>
      </c>
      <c r="H151" s="100" t="n">
        <v>39</v>
      </c>
      <c r="I151" s="100" t="n">
        <v>58</v>
      </c>
      <c r="J151" s="100" t="n">
        <v>2</v>
      </c>
      <c r="K151" s="100" t="n">
        <v>22</v>
      </c>
      <c r="L151" s="100" t="n">
        <v>1</v>
      </c>
      <c r="M151" s="100" t="n">
        <v>76</v>
      </c>
      <c r="N151" s="99" t="inlineStr">
        <is>
          <t>Healthy</t>
        </is>
      </c>
      <c r="O151" s="100">
        <f>G151+H151</f>
        <v/>
      </c>
      <c r="P151" s="100">
        <f>G151+H151-I151-J151</f>
        <v/>
      </c>
      <c r="Q151" s="100">
        <f>MAX(0,P151)</f>
        <v/>
      </c>
      <c r="R151" s="100">
        <f>MAX(0,-P151)</f>
        <v/>
      </c>
      <c r="S151" s="101">
        <f>IFERROR(J151/O151,0)</f>
        <v/>
      </c>
      <c r="T151" s="101">
        <f>IFERROR(I151/O151,0)</f>
        <v/>
      </c>
      <c r="U151" s="102">
        <f>IF(P151&lt;=K151,"Reorder Required","Stock Sufficient")</f>
        <v/>
      </c>
      <c r="V151" s="102">
        <f>IF(AND(Q151=M151,(U151="Reorder Required")=(N151="Reorder Required")),"OK","Mismatch")</f>
        <v/>
      </c>
      <c r="W151" s="99" t="n"/>
    </row>
    <row r="152">
      <c r="A152" s="99" t="inlineStr">
        <is>
          <t>INV00151</t>
        </is>
      </c>
      <c r="B152" s="99" t="inlineStr">
        <is>
          <t>OUT004</t>
        </is>
      </c>
      <c r="C152" s="99">
        <f>INDEX(Lookup!$B$2:$B$11,MATCH(B152,Lookup!$A$2:$A$11,0))</f>
        <v/>
      </c>
      <c r="D152" s="99" t="inlineStr">
        <is>
          <t>BP001</t>
        </is>
      </c>
      <c r="E152" s="99">
        <f>INDEX(Lookup!$E$2:$E$51,MATCH(D152,Lookup!$D$2:$D$51,0))</f>
        <v/>
      </c>
      <c r="F152" s="99">
        <f>INDEX(Lookup!$F$2:$F$51,MATCH(D152,Lookup!$D$2:$D$51,0))</f>
        <v/>
      </c>
      <c r="G152" s="100" t="n">
        <v>141</v>
      </c>
      <c r="H152" s="100" t="n">
        <v>83</v>
      </c>
      <c r="I152" s="100" t="n">
        <v>67</v>
      </c>
      <c r="J152" s="100" t="n">
        <v>3</v>
      </c>
      <c r="K152" s="100" t="n">
        <v>36</v>
      </c>
      <c r="L152" s="100" t="n">
        <v>2</v>
      </c>
      <c r="M152" s="100" t="n">
        <v>154</v>
      </c>
      <c r="N152" s="99" t="inlineStr">
        <is>
          <t>Healthy</t>
        </is>
      </c>
      <c r="O152" s="100">
        <f>G152+H152</f>
        <v/>
      </c>
      <c r="P152" s="100">
        <f>G152+H152-I152-J152</f>
        <v/>
      </c>
      <c r="Q152" s="100">
        <f>MAX(0,P152)</f>
        <v/>
      </c>
      <c r="R152" s="100">
        <f>MAX(0,-P152)</f>
        <v/>
      </c>
      <c r="S152" s="101">
        <f>IFERROR(J152/O152,0)</f>
        <v/>
      </c>
      <c r="T152" s="101">
        <f>IFERROR(I152/O152,0)</f>
        <v/>
      </c>
      <c r="U152" s="102">
        <f>IF(P152&lt;=K152,"Reorder Required","Stock Sufficient")</f>
        <v/>
      </c>
      <c r="V152" s="102">
        <f>IF(AND(Q152=M152,(U152="Reorder Required")=(N152="Reorder Required")),"OK","Mismatch")</f>
        <v/>
      </c>
      <c r="W152" s="99" t="n"/>
    </row>
    <row r="153">
      <c r="A153" s="99" t="inlineStr">
        <is>
          <t>INV00152</t>
        </is>
      </c>
      <c r="B153" s="99" t="inlineStr">
        <is>
          <t>OUT004</t>
        </is>
      </c>
      <c r="C153" s="99">
        <f>INDEX(Lookup!$B$2:$B$11,MATCH(B153,Lookup!$A$2:$A$11,0))</f>
        <v/>
      </c>
      <c r="D153" s="99" t="inlineStr">
        <is>
          <t>BP002</t>
        </is>
      </c>
      <c r="E153" s="99">
        <f>INDEX(Lookup!$E$2:$E$51,MATCH(D153,Lookup!$D$2:$D$51,0))</f>
        <v/>
      </c>
      <c r="F153" s="99">
        <f>INDEX(Lookup!$F$2:$F$51,MATCH(D153,Lookup!$D$2:$D$51,0))</f>
        <v/>
      </c>
      <c r="G153" s="100" t="n">
        <v>108</v>
      </c>
      <c r="H153" s="100" t="n">
        <v>93</v>
      </c>
      <c r="I153" s="100" t="n">
        <v>52</v>
      </c>
      <c r="J153" s="100" t="n">
        <v>1</v>
      </c>
      <c r="K153" s="100" t="n">
        <v>37</v>
      </c>
      <c r="L153" s="100" t="n">
        <v>3</v>
      </c>
      <c r="M153" s="100" t="n">
        <v>148</v>
      </c>
      <c r="N153" s="99" t="inlineStr">
        <is>
          <t>Healthy</t>
        </is>
      </c>
      <c r="O153" s="100">
        <f>G153+H153</f>
        <v/>
      </c>
      <c r="P153" s="100">
        <f>G153+H153-I153-J153</f>
        <v/>
      </c>
      <c r="Q153" s="100">
        <f>MAX(0,P153)</f>
        <v/>
      </c>
      <c r="R153" s="100">
        <f>MAX(0,-P153)</f>
        <v/>
      </c>
      <c r="S153" s="101">
        <f>IFERROR(J153/O153,0)</f>
        <v/>
      </c>
      <c r="T153" s="101">
        <f>IFERROR(I153/O153,0)</f>
        <v/>
      </c>
      <c r="U153" s="102">
        <f>IF(P153&lt;=K153,"Reorder Required","Stock Sufficient")</f>
        <v/>
      </c>
      <c r="V153" s="102">
        <f>IF(AND(Q153=M153,(U153="Reorder Required")=(N153="Reorder Required")),"OK","Mismatch")</f>
        <v/>
      </c>
      <c r="W153" s="99" t="n"/>
    </row>
    <row r="154">
      <c r="A154" s="99" t="inlineStr">
        <is>
          <t>INV00153</t>
        </is>
      </c>
      <c r="B154" s="99" t="inlineStr">
        <is>
          <t>OUT004</t>
        </is>
      </c>
      <c r="C154" s="99">
        <f>INDEX(Lookup!$B$2:$B$11,MATCH(B154,Lookup!$A$2:$A$11,0))</f>
        <v/>
      </c>
      <c r="D154" s="99" t="inlineStr">
        <is>
          <t>BP003</t>
        </is>
      </c>
      <c r="E154" s="99">
        <f>INDEX(Lookup!$E$2:$E$51,MATCH(D154,Lookup!$D$2:$D$51,0))</f>
        <v/>
      </c>
      <c r="F154" s="99">
        <f>INDEX(Lookup!$F$2:$F$51,MATCH(D154,Lookup!$D$2:$D$51,0))</f>
        <v/>
      </c>
      <c r="G154" s="100" t="n">
        <v>59</v>
      </c>
      <c r="H154" s="100" t="n">
        <v>71</v>
      </c>
      <c r="I154" s="100" t="n">
        <v>136</v>
      </c>
      <c r="J154" s="100" t="n">
        <v>1</v>
      </c>
      <c r="K154" s="100" t="n">
        <v>25</v>
      </c>
      <c r="L154" s="100" t="n">
        <v>2</v>
      </c>
      <c r="M154" s="100" t="n">
        <v>0</v>
      </c>
      <c r="N154" s="99" t="inlineStr">
        <is>
          <t>Reorder Required</t>
        </is>
      </c>
      <c r="O154" s="100">
        <f>G154+H154</f>
        <v/>
      </c>
      <c r="P154" s="100">
        <f>G154+H154-I154-J154</f>
        <v/>
      </c>
      <c r="Q154" s="100">
        <f>MAX(0,P154)</f>
        <v/>
      </c>
      <c r="R154" s="100">
        <f>MAX(0,-P154)</f>
        <v/>
      </c>
      <c r="S154" s="101">
        <f>IFERROR(J154/O154,0)</f>
        <v/>
      </c>
      <c r="T154" s="101">
        <f>IFERROR(I154/O154,0)</f>
        <v/>
      </c>
      <c r="U154" s="102">
        <f>IF(P154&lt;=K154,"Reorder Required","Stock Sufficient")</f>
        <v/>
      </c>
      <c r="V154" s="102">
        <f>IF(AND(Q154=M154,(U154="Reorder Required")=(N154="Reorder Required")),"OK","Mismatch")</f>
        <v/>
      </c>
      <c r="W154" s="99" t="inlineStr">
        <is>
          <t>Restock immediately</t>
        </is>
      </c>
    </row>
    <row r="155">
      <c r="A155" s="99" t="inlineStr">
        <is>
          <t>INV00154</t>
        </is>
      </c>
      <c r="B155" s="99" t="inlineStr">
        <is>
          <t>OUT004</t>
        </is>
      </c>
      <c r="C155" s="99">
        <f>INDEX(Lookup!$B$2:$B$11,MATCH(B155,Lookup!$A$2:$A$11,0))</f>
        <v/>
      </c>
      <c r="D155" s="99" t="inlineStr">
        <is>
          <t>BP004</t>
        </is>
      </c>
      <c r="E155" s="99">
        <f>INDEX(Lookup!$E$2:$E$51,MATCH(D155,Lookup!$D$2:$D$51,0))</f>
        <v/>
      </c>
      <c r="F155" s="99">
        <f>INDEX(Lookup!$F$2:$F$51,MATCH(D155,Lookup!$D$2:$D$51,0))</f>
        <v/>
      </c>
      <c r="G155" s="100" t="n">
        <v>94</v>
      </c>
      <c r="H155" s="100" t="n">
        <v>99</v>
      </c>
      <c r="I155" s="100" t="n">
        <v>109</v>
      </c>
      <c r="J155" s="100" t="n">
        <v>2</v>
      </c>
      <c r="K155" s="100" t="n">
        <v>19</v>
      </c>
      <c r="L155" s="100" t="n">
        <v>5</v>
      </c>
      <c r="M155" s="100" t="n">
        <v>82</v>
      </c>
      <c r="N155" s="99" t="inlineStr">
        <is>
          <t>Healthy</t>
        </is>
      </c>
      <c r="O155" s="100">
        <f>G155+H155</f>
        <v/>
      </c>
      <c r="P155" s="100">
        <f>G155+H155-I155-J155</f>
        <v/>
      </c>
      <c r="Q155" s="100">
        <f>MAX(0,P155)</f>
        <v/>
      </c>
      <c r="R155" s="100">
        <f>MAX(0,-P155)</f>
        <v/>
      </c>
      <c r="S155" s="101">
        <f>IFERROR(J155/O155,0)</f>
        <v/>
      </c>
      <c r="T155" s="101">
        <f>IFERROR(I155/O155,0)</f>
        <v/>
      </c>
      <c r="U155" s="102">
        <f>IF(P155&lt;=K155,"Reorder Required","Stock Sufficient")</f>
        <v/>
      </c>
      <c r="V155" s="102">
        <f>IF(AND(Q155=M155,(U155="Reorder Required")=(N155="Reorder Required")),"OK","Mismatch")</f>
        <v/>
      </c>
      <c r="W155" s="99" t="n"/>
    </row>
    <row r="156">
      <c r="A156" s="99" t="inlineStr">
        <is>
          <t>INV00155</t>
        </is>
      </c>
      <c r="B156" s="99" t="inlineStr">
        <is>
          <t>OUT004</t>
        </is>
      </c>
      <c r="C156" s="99">
        <f>INDEX(Lookup!$B$2:$B$11,MATCH(B156,Lookup!$A$2:$A$11,0))</f>
        <v/>
      </c>
      <c r="D156" s="99" t="inlineStr">
        <is>
          <t>BP005</t>
        </is>
      </c>
      <c r="E156" s="99">
        <f>INDEX(Lookup!$E$2:$E$51,MATCH(D156,Lookup!$D$2:$D$51,0))</f>
        <v/>
      </c>
      <c r="F156" s="99">
        <f>INDEX(Lookup!$F$2:$F$51,MATCH(D156,Lookup!$D$2:$D$51,0))</f>
        <v/>
      </c>
      <c r="G156" s="100" t="n">
        <v>103</v>
      </c>
      <c r="H156" s="100" t="n">
        <v>53</v>
      </c>
      <c r="I156" s="100" t="n">
        <v>89</v>
      </c>
      <c r="J156" s="100" t="n">
        <v>1</v>
      </c>
      <c r="K156" s="100" t="n">
        <v>29</v>
      </c>
      <c r="L156" s="100" t="n">
        <v>5</v>
      </c>
      <c r="M156" s="100" t="n">
        <v>66</v>
      </c>
      <c r="N156" s="99" t="inlineStr">
        <is>
          <t>Healthy</t>
        </is>
      </c>
      <c r="O156" s="100">
        <f>G156+H156</f>
        <v/>
      </c>
      <c r="P156" s="100">
        <f>G156+H156-I156-J156</f>
        <v/>
      </c>
      <c r="Q156" s="100">
        <f>MAX(0,P156)</f>
        <v/>
      </c>
      <c r="R156" s="100">
        <f>MAX(0,-P156)</f>
        <v/>
      </c>
      <c r="S156" s="101">
        <f>IFERROR(J156/O156,0)</f>
        <v/>
      </c>
      <c r="T156" s="101">
        <f>IFERROR(I156/O156,0)</f>
        <v/>
      </c>
      <c r="U156" s="102">
        <f>IF(P156&lt;=K156,"Reorder Required","Stock Sufficient")</f>
        <v/>
      </c>
      <c r="V156" s="102">
        <f>IF(AND(Q156=M156,(U156="Reorder Required")=(N156="Reorder Required")),"OK","Mismatch")</f>
        <v/>
      </c>
      <c r="W156" s="99" t="n"/>
    </row>
    <row r="157">
      <c r="A157" s="99" t="inlineStr">
        <is>
          <t>INV00156</t>
        </is>
      </c>
      <c r="B157" s="99" t="inlineStr">
        <is>
          <t>OUT004</t>
        </is>
      </c>
      <c r="C157" s="99">
        <f>INDEX(Lookup!$B$2:$B$11,MATCH(B157,Lookup!$A$2:$A$11,0))</f>
        <v/>
      </c>
      <c r="D157" s="99" t="inlineStr">
        <is>
          <t>BP006</t>
        </is>
      </c>
      <c r="E157" s="99">
        <f>INDEX(Lookup!$E$2:$E$51,MATCH(D157,Lookup!$D$2:$D$51,0))</f>
        <v/>
      </c>
      <c r="F157" s="99">
        <f>INDEX(Lookup!$F$2:$F$51,MATCH(D157,Lookup!$D$2:$D$51,0))</f>
        <v/>
      </c>
      <c r="G157" s="100" t="n">
        <v>71</v>
      </c>
      <c r="H157" s="100" t="n">
        <v>24</v>
      </c>
      <c r="I157" s="100" t="n">
        <v>111</v>
      </c>
      <c r="J157" s="100" t="n">
        <v>0</v>
      </c>
      <c r="K157" s="100" t="n">
        <v>35</v>
      </c>
      <c r="L157" s="100" t="n">
        <v>3</v>
      </c>
      <c r="M157" s="100" t="n">
        <v>0</v>
      </c>
      <c r="N157" s="99" t="inlineStr">
        <is>
          <t>Reorder Required</t>
        </is>
      </c>
      <c r="O157" s="100">
        <f>G157+H157</f>
        <v/>
      </c>
      <c r="P157" s="100">
        <f>G157+H157-I157-J157</f>
        <v/>
      </c>
      <c r="Q157" s="100">
        <f>MAX(0,P157)</f>
        <v/>
      </c>
      <c r="R157" s="100">
        <f>MAX(0,-P157)</f>
        <v/>
      </c>
      <c r="S157" s="101">
        <f>IFERROR(J157/O157,0)</f>
        <v/>
      </c>
      <c r="T157" s="101">
        <f>IFERROR(I157/O157,0)</f>
        <v/>
      </c>
      <c r="U157" s="102">
        <f>IF(P157&lt;=K157,"Reorder Required","Stock Sufficient")</f>
        <v/>
      </c>
      <c r="V157" s="102">
        <f>IF(AND(Q157=M157,(U157="Reorder Required")=(N157="Reorder Required")),"OK","Mismatch")</f>
        <v/>
      </c>
      <c r="W157" s="99" t="inlineStr">
        <is>
          <t>Restock immediately</t>
        </is>
      </c>
    </row>
    <row r="158">
      <c r="A158" s="99" t="inlineStr">
        <is>
          <t>INV00157</t>
        </is>
      </c>
      <c r="B158" s="99" t="inlineStr">
        <is>
          <t>OUT004</t>
        </is>
      </c>
      <c r="C158" s="99">
        <f>INDEX(Lookup!$B$2:$B$11,MATCH(B158,Lookup!$A$2:$A$11,0))</f>
        <v/>
      </c>
      <c r="D158" s="99" t="inlineStr">
        <is>
          <t>BP007</t>
        </is>
      </c>
      <c r="E158" s="99">
        <f>INDEX(Lookup!$E$2:$E$51,MATCH(D158,Lookup!$D$2:$D$51,0))</f>
        <v/>
      </c>
      <c r="F158" s="99">
        <f>INDEX(Lookup!$F$2:$F$51,MATCH(D158,Lookup!$D$2:$D$51,0))</f>
        <v/>
      </c>
      <c r="G158" s="100" t="n">
        <v>124</v>
      </c>
      <c r="H158" s="100" t="n">
        <v>84</v>
      </c>
      <c r="I158" s="100" t="n">
        <v>135</v>
      </c>
      <c r="J158" s="100" t="n">
        <v>3</v>
      </c>
      <c r="K158" s="100" t="n">
        <v>16</v>
      </c>
      <c r="L158" s="100" t="n">
        <v>3</v>
      </c>
      <c r="M158" s="100" t="n">
        <v>70</v>
      </c>
      <c r="N158" s="99" t="inlineStr">
        <is>
          <t>Healthy</t>
        </is>
      </c>
      <c r="O158" s="100">
        <f>G158+H158</f>
        <v/>
      </c>
      <c r="P158" s="100">
        <f>G158+H158-I158-J158</f>
        <v/>
      </c>
      <c r="Q158" s="100">
        <f>MAX(0,P158)</f>
        <v/>
      </c>
      <c r="R158" s="100">
        <f>MAX(0,-P158)</f>
        <v/>
      </c>
      <c r="S158" s="101">
        <f>IFERROR(J158/O158,0)</f>
        <v/>
      </c>
      <c r="T158" s="101">
        <f>IFERROR(I158/O158,0)</f>
        <v/>
      </c>
      <c r="U158" s="102">
        <f>IF(P158&lt;=K158,"Reorder Required","Stock Sufficient")</f>
        <v/>
      </c>
      <c r="V158" s="102">
        <f>IF(AND(Q158=M158,(U158="Reorder Required")=(N158="Reorder Required")),"OK","Mismatch")</f>
        <v/>
      </c>
      <c r="W158" s="99" t="n"/>
    </row>
    <row r="159">
      <c r="A159" s="99" t="inlineStr">
        <is>
          <t>INV00158</t>
        </is>
      </c>
      <c r="B159" s="99" t="inlineStr">
        <is>
          <t>OUT004</t>
        </is>
      </c>
      <c r="C159" s="99">
        <f>INDEX(Lookup!$B$2:$B$11,MATCH(B159,Lookup!$A$2:$A$11,0))</f>
        <v/>
      </c>
      <c r="D159" s="99" t="inlineStr">
        <is>
          <t>BP008</t>
        </is>
      </c>
      <c r="E159" s="99">
        <f>INDEX(Lookup!$E$2:$E$51,MATCH(D159,Lookup!$D$2:$D$51,0))</f>
        <v/>
      </c>
      <c r="F159" s="99">
        <f>INDEX(Lookup!$F$2:$F$51,MATCH(D159,Lookup!$D$2:$D$51,0))</f>
        <v/>
      </c>
      <c r="G159" s="100" t="n">
        <v>113</v>
      </c>
      <c r="H159" s="100" t="n">
        <v>54</v>
      </c>
      <c r="I159" s="100" t="n">
        <v>121</v>
      </c>
      <c r="J159" s="100" t="n">
        <v>0</v>
      </c>
      <c r="K159" s="100" t="n">
        <v>37</v>
      </c>
      <c r="L159" s="100" t="n">
        <v>2</v>
      </c>
      <c r="M159" s="100" t="n">
        <v>46</v>
      </c>
      <c r="N159" s="99" t="inlineStr">
        <is>
          <t>Healthy</t>
        </is>
      </c>
      <c r="O159" s="100">
        <f>G159+H159</f>
        <v/>
      </c>
      <c r="P159" s="100">
        <f>G159+H159-I159-J159</f>
        <v/>
      </c>
      <c r="Q159" s="100">
        <f>MAX(0,P159)</f>
        <v/>
      </c>
      <c r="R159" s="100">
        <f>MAX(0,-P159)</f>
        <v/>
      </c>
      <c r="S159" s="101">
        <f>IFERROR(J159/O159,0)</f>
        <v/>
      </c>
      <c r="T159" s="101">
        <f>IFERROR(I159/O159,0)</f>
        <v/>
      </c>
      <c r="U159" s="102">
        <f>IF(P159&lt;=K159,"Reorder Required","Stock Sufficient")</f>
        <v/>
      </c>
      <c r="V159" s="102">
        <f>IF(AND(Q159=M159,(U159="Reorder Required")=(N159="Reorder Required")),"OK","Mismatch")</f>
        <v/>
      </c>
      <c r="W159" s="99" t="n"/>
    </row>
    <row r="160">
      <c r="A160" s="99" t="inlineStr">
        <is>
          <t>INV00159</t>
        </is>
      </c>
      <c r="B160" s="99" t="inlineStr">
        <is>
          <t>OUT004</t>
        </is>
      </c>
      <c r="C160" s="99">
        <f>INDEX(Lookup!$B$2:$B$11,MATCH(B160,Lookup!$A$2:$A$11,0))</f>
        <v/>
      </c>
      <c r="D160" s="99" t="inlineStr">
        <is>
          <t>BP009</t>
        </is>
      </c>
      <c r="E160" s="99">
        <f>INDEX(Lookup!$E$2:$E$51,MATCH(D160,Lookup!$D$2:$D$51,0))</f>
        <v/>
      </c>
      <c r="F160" s="99">
        <f>INDEX(Lookup!$F$2:$F$51,MATCH(D160,Lookup!$D$2:$D$51,0))</f>
        <v/>
      </c>
      <c r="G160" s="100" t="n">
        <v>146</v>
      </c>
      <c r="H160" s="100" t="n">
        <v>58</v>
      </c>
      <c r="I160" s="100" t="n">
        <v>79</v>
      </c>
      <c r="J160" s="100" t="n">
        <v>1</v>
      </c>
      <c r="K160" s="100" t="n">
        <v>26</v>
      </c>
      <c r="L160" s="100" t="n">
        <v>3</v>
      </c>
      <c r="M160" s="100" t="n">
        <v>124</v>
      </c>
      <c r="N160" s="99" t="inlineStr">
        <is>
          <t>Healthy</t>
        </is>
      </c>
      <c r="O160" s="100">
        <f>G160+H160</f>
        <v/>
      </c>
      <c r="P160" s="100">
        <f>G160+H160-I160-J160</f>
        <v/>
      </c>
      <c r="Q160" s="100">
        <f>MAX(0,P160)</f>
        <v/>
      </c>
      <c r="R160" s="100">
        <f>MAX(0,-P160)</f>
        <v/>
      </c>
      <c r="S160" s="101">
        <f>IFERROR(J160/O160,0)</f>
        <v/>
      </c>
      <c r="T160" s="101">
        <f>IFERROR(I160/O160,0)</f>
        <v/>
      </c>
      <c r="U160" s="102">
        <f>IF(P160&lt;=K160,"Reorder Required","Stock Sufficient")</f>
        <v/>
      </c>
      <c r="V160" s="102">
        <f>IF(AND(Q160=M160,(U160="Reorder Required")=(N160="Reorder Required")),"OK","Mismatch")</f>
        <v/>
      </c>
      <c r="W160" s="99" t="n"/>
    </row>
    <row r="161">
      <c r="A161" s="99" t="inlineStr">
        <is>
          <t>INV00160</t>
        </is>
      </c>
      <c r="B161" s="99" t="inlineStr">
        <is>
          <t>OUT004</t>
        </is>
      </c>
      <c r="C161" s="99">
        <f>INDEX(Lookup!$B$2:$B$11,MATCH(B161,Lookup!$A$2:$A$11,0))</f>
        <v/>
      </c>
      <c r="D161" s="99" t="inlineStr">
        <is>
          <t>BP010</t>
        </is>
      </c>
      <c r="E161" s="99">
        <f>INDEX(Lookup!$E$2:$E$51,MATCH(D161,Lookup!$D$2:$D$51,0))</f>
        <v/>
      </c>
      <c r="F161" s="99">
        <f>INDEX(Lookup!$F$2:$F$51,MATCH(D161,Lookup!$D$2:$D$51,0))</f>
        <v/>
      </c>
      <c r="G161" s="100" t="n">
        <v>53</v>
      </c>
      <c r="H161" s="100" t="n">
        <v>42</v>
      </c>
      <c r="I161" s="100" t="n">
        <v>80</v>
      </c>
      <c r="J161" s="100" t="n">
        <v>2</v>
      </c>
      <c r="K161" s="100" t="n">
        <v>20</v>
      </c>
      <c r="L161" s="100" t="n">
        <v>5</v>
      </c>
      <c r="M161" s="100" t="n">
        <v>13</v>
      </c>
      <c r="N161" s="99" t="inlineStr">
        <is>
          <t>Reorder Required</t>
        </is>
      </c>
      <c r="O161" s="100">
        <f>G161+H161</f>
        <v/>
      </c>
      <c r="P161" s="100">
        <f>G161+H161-I161-J161</f>
        <v/>
      </c>
      <c r="Q161" s="100">
        <f>MAX(0,P161)</f>
        <v/>
      </c>
      <c r="R161" s="100">
        <f>MAX(0,-P161)</f>
        <v/>
      </c>
      <c r="S161" s="101">
        <f>IFERROR(J161/O161,0)</f>
        <v/>
      </c>
      <c r="T161" s="101">
        <f>IFERROR(I161/O161,0)</f>
        <v/>
      </c>
      <c r="U161" s="102">
        <f>IF(P161&lt;=K161,"Reorder Required","Stock Sufficient")</f>
        <v/>
      </c>
      <c r="V161" s="102">
        <f>IF(AND(Q161=M161,(U161="Reorder Required")=(N161="Reorder Required")),"OK","Mismatch")</f>
        <v/>
      </c>
      <c r="W161" s="99" t="inlineStr">
        <is>
          <t>Restock immediately</t>
        </is>
      </c>
    </row>
    <row r="162">
      <c r="A162" s="99" t="inlineStr">
        <is>
          <t>INV00161</t>
        </is>
      </c>
      <c r="B162" s="99" t="inlineStr">
        <is>
          <t>OUT004</t>
        </is>
      </c>
      <c r="C162" s="99">
        <f>INDEX(Lookup!$B$2:$B$11,MATCH(B162,Lookup!$A$2:$A$11,0))</f>
        <v/>
      </c>
      <c r="D162" s="99" t="inlineStr">
        <is>
          <t>BP011</t>
        </is>
      </c>
      <c r="E162" s="99">
        <f>INDEX(Lookup!$E$2:$E$51,MATCH(D162,Lookup!$D$2:$D$51,0))</f>
        <v/>
      </c>
      <c r="F162" s="99">
        <f>INDEX(Lookup!$F$2:$F$51,MATCH(D162,Lookup!$D$2:$D$51,0))</f>
        <v/>
      </c>
      <c r="G162" s="100" t="n">
        <v>131</v>
      </c>
      <c r="H162" s="100" t="n">
        <v>78</v>
      </c>
      <c r="I162" s="100" t="n">
        <v>47</v>
      </c>
      <c r="J162" s="100" t="n">
        <v>0</v>
      </c>
      <c r="K162" s="100" t="n">
        <v>31</v>
      </c>
      <c r="L162" s="100" t="n">
        <v>2</v>
      </c>
      <c r="M162" s="100" t="n">
        <v>162</v>
      </c>
      <c r="N162" s="99" t="inlineStr">
        <is>
          <t>Healthy</t>
        </is>
      </c>
      <c r="O162" s="100">
        <f>G162+H162</f>
        <v/>
      </c>
      <c r="P162" s="100">
        <f>G162+H162-I162-J162</f>
        <v/>
      </c>
      <c r="Q162" s="100">
        <f>MAX(0,P162)</f>
        <v/>
      </c>
      <c r="R162" s="100">
        <f>MAX(0,-P162)</f>
        <v/>
      </c>
      <c r="S162" s="101">
        <f>IFERROR(J162/O162,0)</f>
        <v/>
      </c>
      <c r="T162" s="101">
        <f>IFERROR(I162/O162,0)</f>
        <v/>
      </c>
      <c r="U162" s="102">
        <f>IF(P162&lt;=K162,"Reorder Required","Stock Sufficient")</f>
        <v/>
      </c>
      <c r="V162" s="102">
        <f>IF(AND(Q162=M162,(U162="Reorder Required")=(N162="Reorder Required")),"OK","Mismatch")</f>
        <v/>
      </c>
      <c r="W162" s="99" t="n"/>
    </row>
    <row r="163">
      <c r="A163" s="99" t="inlineStr">
        <is>
          <t>INV00162</t>
        </is>
      </c>
      <c r="B163" s="99" t="inlineStr">
        <is>
          <t>OUT004</t>
        </is>
      </c>
      <c r="C163" s="99">
        <f>INDEX(Lookup!$B$2:$B$11,MATCH(B163,Lookup!$A$2:$A$11,0))</f>
        <v/>
      </c>
      <c r="D163" s="99" t="inlineStr">
        <is>
          <t>BP012</t>
        </is>
      </c>
      <c r="E163" s="99">
        <f>INDEX(Lookup!$E$2:$E$51,MATCH(D163,Lookup!$D$2:$D$51,0))</f>
        <v/>
      </c>
      <c r="F163" s="99">
        <f>INDEX(Lookup!$F$2:$F$51,MATCH(D163,Lookup!$D$2:$D$51,0))</f>
        <v/>
      </c>
      <c r="G163" s="100" t="n">
        <v>53</v>
      </c>
      <c r="H163" s="100" t="n">
        <v>48</v>
      </c>
      <c r="I163" s="100" t="n">
        <v>49</v>
      </c>
      <c r="J163" s="100" t="n">
        <v>3</v>
      </c>
      <c r="K163" s="100" t="n">
        <v>16</v>
      </c>
      <c r="L163" s="100" t="n">
        <v>5</v>
      </c>
      <c r="M163" s="100" t="n">
        <v>49</v>
      </c>
      <c r="N163" s="99" t="inlineStr">
        <is>
          <t>Healthy</t>
        </is>
      </c>
      <c r="O163" s="100">
        <f>G163+H163</f>
        <v/>
      </c>
      <c r="P163" s="100">
        <f>G163+H163-I163-J163</f>
        <v/>
      </c>
      <c r="Q163" s="100">
        <f>MAX(0,P163)</f>
        <v/>
      </c>
      <c r="R163" s="100">
        <f>MAX(0,-P163)</f>
        <v/>
      </c>
      <c r="S163" s="101">
        <f>IFERROR(J163/O163,0)</f>
        <v/>
      </c>
      <c r="T163" s="101">
        <f>IFERROR(I163/O163,0)</f>
        <v/>
      </c>
      <c r="U163" s="102">
        <f>IF(P163&lt;=K163,"Reorder Required","Stock Sufficient")</f>
        <v/>
      </c>
      <c r="V163" s="102">
        <f>IF(AND(Q163=M163,(U163="Reorder Required")=(N163="Reorder Required")),"OK","Mismatch")</f>
        <v/>
      </c>
      <c r="W163" s="99" t="n"/>
    </row>
    <row r="164">
      <c r="A164" s="99" t="inlineStr">
        <is>
          <t>INV00163</t>
        </is>
      </c>
      <c r="B164" s="99" t="inlineStr">
        <is>
          <t>OUT004</t>
        </is>
      </c>
      <c r="C164" s="99">
        <f>INDEX(Lookup!$B$2:$B$11,MATCH(B164,Lookup!$A$2:$A$11,0))</f>
        <v/>
      </c>
      <c r="D164" s="99" t="inlineStr">
        <is>
          <t>BP013</t>
        </is>
      </c>
      <c r="E164" s="99">
        <f>INDEX(Lookup!$E$2:$E$51,MATCH(D164,Lookup!$D$2:$D$51,0))</f>
        <v/>
      </c>
      <c r="F164" s="99">
        <f>INDEX(Lookup!$F$2:$F$51,MATCH(D164,Lookup!$D$2:$D$51,0))</f>
        <v/>
      </c>
      <c r="G164" s="100" t="n">
        <v>133</v>
      </c>
      <c r="H164" s="100" t="n">
        <v>47</v>
      </c>
      <c r="I164" s="100" t="n">
        <v>127</v>
      </c>
      <c r="J164" s="100" t="n">
        <v>0</v>
      </c>
      <c r="K164" s="100" t="n">
        <v>38</v>
      </c>
      <c r="L164" s="100" t="n">
        <v>5</v>
      </c>
      <c r="M164" s="100" t="n">
        <v>53</v>
      </c>
      <c r="N164" s="99" t="inlineStr">
        <is>
          <t>Healthy</t>
        </is>
      </c>
      <c r="O164" s="100">
        <f>G164+H164</f>
        <v/>
      </c>
      <c r="P164" s="100">
        <f>G164+H164-I164-J164</f>
        <v/>
      </c>
      <c r="Q164" s="100">
        <f>MAX(0,P164)</f>
        <v/>
      </c>
      <c r="R164" s="100">
        <f>MAX(0,-P164)</f>
        <v/>
      </c>
      <c r="S164" s="101">
        <f>IFERROR(J164/O164,0)</f>
        <v/>
      </c>
      <c r="T164" s="101">
        <f>IFERROR(I164/O164,0)</f>
        <v/>
      </c>
      <c r="U164" s="102">
        <f>IF(P164&lt;=K164,"Reorder Required","Stock Sufficient")</f>
        <v/>
      </c>
      <c r="V164" s="102">
        <f>IF(AND(Q164=M164,(U164="Reorder Required")=(N164="Reorder Required")),"OK","Mismatch")</f>
        <v/>
      </c>
      <c r="W164" s="99" t="n"/>
    </row>
    <row r="165">
      <c r="A165" s="99" t="inlineStr">
        <is>
          <t>INV00164</t>
        </is>
      </c>
      <c r="B165" s="99" t="inlineStr">
        <is>
          <t>OUT004</t>
        </is>
      </c>
      <c r="C165" s="99">
        <f>INDEX(Lookup!$B$2:$B$11,MATCH(B165,Lookup!$A$2:$A$11,0))</f>
        <v/>
      </c>
      <c r="D165" s="99" t="inlineStr">
        <is>
          <t>BP014</t>
        </is>
      </c>
      <c r="E165" s="99">
        <f>INDEX(Lookup!$E$2:$E$51,MATCH(D165,Lookup!$D$2:$D$51,0))</f>
        <v/>
      </c>
      <c r="F165" s="99">
        <f>INDEX(Lookup!$F$2:$F$51,MATCH(D165,Lookup!$D$2:$D$51,0))</f>
        <v/>
      </c>
      <c r="G165" s="100" t="n">
        <v>102</v>
      </c>
      <c r="H165" s="100" t="n">
        <v>37</v>
      </c>
      <c r="I165" s="100" t="n">
        <v>86</v>
      </c>
      <c r="J165" s="100" t="n">
        <v>3</v>
      </c>
      <c r="K165" s="100" t="n">
        <v>37</v>
      </c>
      <c r="L165" s="100" t="n">
        <v>5</v>
      </c>
      <c r="M165" s="100" t="n">
        <v>50</v>
      </c>
      <c r="N165" s="99" t="inlineStr">
        <is>
          <t>Healthy</t>
        </is>
      </c>
      <c r="O165" s="100">
        <f>G165+H165</f>
        <v/>
      </c>
      <c r="P165" s="100">
        <f>G165+H165-I165-J165</f>
        <v/>
      </c>
      <c r="Q165" s="100">
        <f>MAX(0,P165)</f>
        <v/>
      </c>
      <c r="R165" s="100">
        <f>MAX(0,-P165)</f>
        <v/>
      </c>
      <c r="S165" s="101">
        <f>IFERROR(J165/O165,0)</f>
        <v/>
      </c>
      <c r="T165" s="101">
        <f>IFERROR(I165/O165,0)</f>
        <v/>
      </c>
      <c r="U165" s="102">
        <f>IF(P165&lt;=K165,"Reorder Required","Stock Sufficient")</f>
        <v/>
      </c>
      <c r="V165" s="102">
        <f>IF(AND(Q165=M165,(U165="Reorder Required")=(N165="Reorder Required")),"OK","Mismatch")</f>
        <v/>
      </c>
      <c r="W165" s="99" t="n"/>
    </row>
    <row r="166">
      <c r="A166" s="99" t="inlineStr">
        <is>
          <t>INV00165</t>
        </is>
      </c>
      <c r="B166" s="99" t="inlineStr">
        <is>
          <t>OUT004</t>
        </is>
      </c>
      <c r="C166" s="99">
        <f>INDEX(Lookup!$B$2:$B$11,MATCH(B166,Lookup!$A$2:$A$11,0))</f>
        <v/>
      </c>
      <c r="D166" s="99" t="inlineStr">
        <is>
          <t>BP015</t>
        </is>
      </c>
      <c r="E166" s="99">
        <f>INDEX(Lookup!$E$2:$E$51,MATCH(D166,Lookup!$D$2:$D$51,0))</f>
        <v/>
      </c>
      <c r="F166" s="99">
        <f>INDEX(Lookup!$F$2:$F$51,MATCH(D166,Lookup!$D$2:$D$51,0))</f>
        <v/>
      </c>
      <c r="G166" s="100" t="n">
        <v>93</v>
      </c>
      <c r="H166" s="100" t="n">
        <v>30</v>
      </c>
      <c r="I166" s="100" t="n">
        <v>80</v>
      </c>
      <c r="J166" s="100" t="n">
        <v>1</v>
      </c>
      <c r="K166" s="100" t="n">
        <v>26</v>
      </c>
      <c r="L166" s="100" t="n">
        <v>4</v>
      </c>
      <c r="M166" s="100" t="n">
        <v>42</v>
      </c>
      <c r="N166" s="99" t="inlineStr">
        <is>
          <t>Healthy</t>
        </is>
      </c>
      <c r="O166" s="100">
        <f>G166+H166</f>
        <v/>
      </c>
      <c r="P166" s="100">
        <f>G166+H166-I166-J166</f>
        <v/>
      </c>
      <c r="Q166" s="100">
        <f>MAX(0,P166)</f>
        <v/>
      </c>
      <c r="R166" s="100">
        <f>MAX(0,-P166)</f>
        <v/>
      </c>
      <c r="S166" s="101">
        <f>IFERROR(J166/O166,0)</f>
        <v/>
      </c>
      <c r="T166" s="101">
        <f>IFERROR(I166/O166,0)</f>
        <v/>
      </c>
      <c r="U166" s="102">
        <f>IF(P166&lt;=K166,"Reorder Required","Stock Sufficient")</f>
        <v/>
      </c>
      <c r="V166" s="102">
        <f>IF(AND(Q166=M166,(U166="Reorder Required")=(N166="Reorder Required")),"OK","Mismatch")</f>
        <v/>
      </c>
      <c r="W166" s="99" t="n"/>
    </row>
    <row r="167">
      <c r="A167" s="99" t="inlineStr">
        <is>
          <t>INV00166</t>
        </is>
      </c>
      <c r="B167" s="99" t="inlineStr">
        <is>
          <t>OUT004</t>
        </is>
      </c>
      <c r="C167" s="99">
        <f>INDEX(Lookup!$B$2:$B$11,MATCH(B167,Lookup!$A$2:$A$11,0))</f>
        <v/>
      </c>
      <c r="D167" s="99" t="inlineStr">
        <is>
          <t>BP016</t>
        </is>
      </c>
      <c r="E167" s="99">
        <f>INDEX(Lookup!$E$2:$E$51,MATCH(D167,Lookup!$D$2:$D$51,0))</f>
        <v/>
      </c>
      <c r="F167" s="99">
        <f>INDEX(Lookup!$F$2:$F$51,MATCH(D167,Lookup!$D$2:$D$51,0))</f>
        <v/>
      </c>
      <c r="G167" s="100" t="n">
        <v>83</v>
      </c>
      <c r="H167" s="100" t="n">
        <v>61</v>
      </c>
      <c r="I167" s="100" t="n">
        <v>133</v>
      </c>
      <c r="J167" s="100" t="n">
        <v>3</v>
      </c>
      <c r="K167" s="100" t="n">
        <v>30</v>
      </c>
      <c r="L167" s="100" t="n">
        <v>1</v>
      </c>
      <c r="M167" s="100" t="n">
        <v>8</v>
      </c>
      <c r="N167" s="99" t="inlineStr">
        <is>
          <t>Reorder Required</t>
        </is>
      </c>
      <c r="O167" s="100">
        <f>G167+H167</f>
        <v/>
      </c>
      <c r="P167" s="100">
        <f>G167+H167-I167-J167</f>
        <v/>
      </c>
      <c r="Q167" s="100">
        <f>MAX(0,P167)</f>
        <v/>
      </c>
      <c r="R167" s="100">
        <f>MAX(0,-P167)</f>
        <v/>
      </c>
      <c r="S167" s="101">
        <f>IFERROR(J167/O167,0)</f>
        <v/>
      </c>
      <c r="T167" s="101">
        <f>IFERROR(I167/O167,0)</f>
        <v/>
      </c>
      <c r="U167" s="102">
        <f>IF(P167&lt;=K167,"Reorder Required","Stock Sufficient")</f>
        <v/>
      </c>
      <c r="V167" s="102">
        <f>IF(AND(Q167=M167,(U167="Reorder Required")=(N167="Reorder Required")),"OK","Mismatch")</f>
        <v/>
      </c>
      <c r="W167" s="99" t="inlineStr">
        <is>
          <t>Restock immediately</t>
        </is>
      </c>
    </row>
    <row r="168">
      <c r="A168" s="99" t="inlineStr">
        <is>
          <t>INV00167</t>
        </is>
      </c>
      <c r="B168" s="99" t="inlineStr">
        <is>
          <t>OUT004</t>
        </is>
      </c>
      <c r="C168" s="99">
        <f>INDEX(Lookup!$B$2:$B$11,MATCH(B168,Lookup!$A$2:$A$11,0))</f>
        <v/>
      </c>
      <c r="D168" s="99" t="inlineStr">
        <is>
          <t>BP017</t>
        </is>
      </c>
      <c r="E168" s="99">
        <f>INDEX(Lookup!$E$2:$E$51,MATCH(D168,Lookup!$D$2:$D$51,0))</f>
        <v/>
      </c>
      <c r="F168" s="99">
        <f>INDEX(Lookup!$F$2:$F$51,MATCH(D168,Lookup!$D$2:$D$51,0))</f>
        <v/>
      </c>
      <c r="G168" s="100" t="n">
        <v>70</v>
      </c>
      <c r="H168" s="100" t="n">
        <v>52</v>
      </c>
      <c r="I168" s="100" t="n">
        <v>140</v>
      </c>
      <c r="J168" s="100" t="n">
        <v>1</v>
      </c>
      <c r="K168" s="100" t="n">
        <v>27</v>
      </c>
      <c r="L168" s="100" t="n">
        <v>5</v>
      </c>
      <c r="M168" s="100" t="n">
        <v>0</v>
      </c>
      <c r="N168" s="99" t="inlineStr">
        <is>
          <t>Reorder Required</t>
        </is>
      </c>
      <c r="O168" s="100">
        <f>G168+H168</f>
        <v/>
      </c>
      <c r="P168" s="100">
        <f>G168+H168-I168-J168</f>
        <v/>
      </c>
      <c r="Q168" s="100">
        <f>MAX(0,P168)</f>
        <v/>
      </c>
      <c r="R168" s="100">
        <f>MAX(0,-P168)</f>
        <v/>
      </c>
      <c r="S168" s="101">
        <f>IFERROR(J168/O168,0)</f>
        <v/>
      </c>
      <c r="T168" s="101">
        <f>IFERROR(I168/O168,0)</f>
        <v/>
      </c>
      <c r="U168" s="102">
        <f>IF(P168&lt;=K168,"Reorder Required","Stock Sufficient")</f>
        <v/>
      </c>
      <c r="V168" s="102">
        <f>IF(AND(Q168=M168,(U168="Reorder Required")=(N168="Reorder Required")),"OK","Mismatch")</f>
        <v/>
      </c>
      <c r="W168" s="99" t="inlineStr">
        <is>
          <t>Restock immediately</t>
        </is>
      </c>
    </row>
    <row r="169">
      <c r="A169" s="99" t="inlineStr">
        <is>
          <t>INV00168</t>
        </is>
      </c>
      <c r="B169" s="99" t="inlineStr">
        <is>
          <t>OUT004</t>
        </is>
      </c>
      <c r="C169" s="99">
        <f>INDEX(Lookup!$B$2:$B$11,MATCH(B169,Lookup!$A$2:$A$11,0))</f>
        <v/>
      </c>
      <c r="D169" s="99" t="inlineStr">
        <is>
          <t>BP018</t>
        </is>
      </c>
      <c r="E169" s="99">
        <f>INDEX(Lookup!$E$2:$E$51,MATCH(D169,Lookup!$D$2:$D$51,0))</f>
        <v/>
      </c>
      <c r="F169" s="99">
        <f>INDEX(Lookup!$F$2:$F$51,MATCH(D169,Lookup!$D$2:$D$51,0))</f>
        <v/>
      </c>
      <c r="G169" s="100" t="n">
        <v>50</v>
      </c>
      <c r="H169" s="100" t="n">
        <v>90</v>
      </c>
      <c r="I169" s="100" t="n">
        <v>53</v>
      </c>
      <c r="J169" s="100" t="n">
        <v>0</v>
      </c>
      <c r="K169" s="100" t="n">
        <v>32</v>
      </c>
      <c r="L169" s="100" t="n">
        <v>4</v>
      </c>
      <c r="M169" s="100" t="n">
        <v>87</v>
      </c>
      <c r="N169" s="99" t="inlineStr">
        <is>
          <t>Healthy</t>
        </is>
      </c>
      <c r="O169" s="100">
        <f>G169+H169</f>
        <v/>
      </c>
      <c r="P169" s="100">
        <f>G169+H169-I169-J169</f>
        <v/>
      </c>
      <c r="Q169" s="100">
        <f>MAX(0,P169)</f>
        <v/>
      </c>
      <c r="R169" s="100">
        <f>MAX(0,-P169)</f>
        <v/>
      </c>
      <c r="S169" s="101">
        <f>IFERROR(J169/O169,0)</f>
        <v/>
      </c>
      <c r="T169" s="101">
        <f>IFERROR(I169/O169,0)</f>
        <v/>
      </c>
      <c r="U169" s="102">
        <f>IF(P169&lt;=K169,"Reorder Required","Stock Sufficient")</f>
        <v/>
      </c>
      <c r="V169" s="102">
        <f>IF(AND(Q169=M169,(U169="Reorder Required")=(N169="Reorder Required")),"OK","Mismatch")</f>
        <v/>
      </c>
      <c r="W169" s="99" t="n"/>
    </row>
    <row r="170">
      <c r="A170" s="99" t="inlineStr">
        <is>
          <t>INV00169</t>
        </is>
      </c>
      <c r="B170" s="99" t="inlineStr">
        <is>
          <t>OUT004</t>
        </is>
      </c>
      <c r="C170" s="99">
        <f>INDEX(Lookup!$B$2:$B$11,MATCH(B170,Lookup!$A$2:$A$11,0))</f>
        <v/>
      </c>
      <c r="D170" s="99" t="inlineStr">
        <is>
          <t>BP019</t>
        </is>
      </c>
      <c r="E170" s="99">
        <f>INDEX(Lookup!$E$2:$E$51,MATCH(D170,Lookup!$D$2:$D$51,0))</f>
        <v/>
      </c>
      <c r="F170" s="99">
        <f>INDEX(Lookup!$F$2:$F$51,MATCH(D170,Lookup!$D$2:$D$51,0))</f>
        <v/>
      </c>
      <c r="G170" s="100" t="n">
        <v>78</v>
      </c>
      <c r="H170" s="100" t="n">
        <v>58</v>
      </c>
      <c r="I170" s="100" t="n">
        <v>120</v>
      </c>
      <c r="J170" s="100" t="n">
        <v>2</v>
      </c>
      <c r="K170" s="100" t="n">
        <v>35</v>
      </c>
      <c r="L170" s="100" t="n">
        <v>4</v>
      </c>
      <c r="M170" s="100" t="n">
        <v>14</v>
      </c>
      <c r="N170" s="99" t="inlineStr">
        <is>
          <t>Reorder Required</t>
        </is>
      </c>
      <c r="O170" s="100">
        <f>G170+H170</f>
        <v/>
      </c>
      <c r="P170" s="100">
        <f>G170+H170-I170-J170</f>
        <v/>
      </c>
      <c r="Q170" s="100">
        <f>MAX(0,P170)</f>
        <v/>
      </c>
      <c r="R170" s="100">
        <f>MAX(0,-P170)</f>
        <v/>
      </c>
      <c r="S170" s="101">
        <f>IFERROR(J170/O170,0)</f>
        <v/>
      </c>
      <c r="T170" s="101">
        <f>IFERROR(I170/O170,0)</f>
        <v/>
      </c>
      <c r="U170" s="102">
        <f>IF(P170&lt;=K170,"Reorder Required","Stock Sufficient")</f>
        <v/>
      </c>
      <c r="V170" s="102">
        <f>IF(AND(Q170=M170,(U170="Reorder Required")=(N170="Reorder Required")),"OK","Mismatch")</f>
        <v/>
      </c>
      <c r="W170" s="99" t="inlineStr">
        <is>
          <t>Restock immediately</t>
        </is>
      </c>
    </row>
    <row r="171">
      <c r="A171" s="99" t="inlineStr">
        <is>
          <t>INV00170</t>
        </is>
      </c>
      <c r="B171" s="99" t="inlineStr">
        <is>
          <t>OUT004</t>
        </is>
      </c>
      <c r="C171" s="99">
        <f>INDEX(Lookup!$B$2:$B$11,MATCH(B171,Lookup!$A$2:$A$11,0))</f>
        <v/>
      </c>
      <c r="D171" s="99" t="inlineStr">
        <is>
          <t>BP020</t>
        </is>
      </c>
      <c r="E171" s="99">
        <f>INDEX(Lookup!$E$2:$E$51,MATCH(D171,Lookup!$D$2:$D$51,0))</f>
        <v/>
      </c>
      <c r="F171" s="99">
        <f>INDEX(Lookup!$F$2:$F$51,MATCH(D171,Lookup!$D$2:$D$51,0))</f>
        <v/>
      </c>
      <c r="G171" s="100" t="n">
        <v>68</v>
      </c>
      <c r="H171" s="100" t="n">
        <v>70</v>
      </c>
      <c r="I171" s="100" t="n">
        <v>131</v>
      </c>
      <c r="J171" s="100" t="n">
        <v>0</v>
      </c>
      <c r="K171" s="100" t="n">
        <v>38</v>
      </c>
      <c r="L171" s="100" t="n">
        <v>5</v>
      </c>
      <c r="M171" s="100" t="n">
        <v>7</v>
      </c>
      <c r="N171" s="99" t="inlineStr">
        <is>
          <t>Reorder Required</t>
        </is>
      </c>
      <c r="O171" s="100">
        <f>G171+H171</f>
        <v/>
      </c>
      <c r="P171" s="100">
        <f>G171+H171-I171-J171</f>
        <v/>
      </c>
      <c r="Q171" s="100">
        <f>MAX(0,P171)</f>
        <v/>
      </c>
      <c r="R171" s="100">
        <f>MAX(0,-P171)</f>
        <v/>
      </c>
      <c r="S171" s="101">
        <f>IFERROR(J171/O171,0)</f>
        <v/>
      </c>
      <c r="T171" s="101">
        <f>IFERROR(I171/O171,0)</f>
        <v/>
      </c>
      <c r="U171" s="102">
        <f>IF(P171&lt;=K171,"Reorder Required","Stock Sufficient")</f>
        <v/>
      </c>
      <c r="V171" s="102">
        <f>IF(AND(Q171=M171,(U171="Reorder Required")=(N171="Reorder Required")),"OK","Mismatch")</f>
        <v/>
      </c>
      <c r="W171" s="99" t="inlineStr">
        <is>
          <t>Restock immediately</t>
        </is>
      </c>
    </row>
    <row r="172">
      <c r="A172" s="99" t="inlineStr">
        <is>
          <t>INV00171</t>
        </is>
      </c>
      <c r="B172" s="99" t="inlineStr">
        <is>
          <t>OUT004</t>
        </is>
      </c>
      <c r="C172" s="99">
        <f>INDEX(Lookup!$B$2:$B$11,MATCH(B172,Lookup!$A$2:$A$11,0))</f>
        <v/>
      </c>
      <c r="D172" s="99" t="inlineStr">
        <is>
          <t>BP021</t>
        </is>
      </c>
      <c r="E172" s="99">
        <f>INDEX(Lookup!$E$2:$E$51,MATCH(D172,Lookup!$D$2:$D$51,0))</f>
        <v/>
      </c>
      <c r="F172" s="99">
        <f>INDEX(Lookup!$F$2:$F$51,MATCH(D172,Lookup!$D$2:$D$51,0))</f>
        <v/>
      </c>
      <c r="G172" s="100" t="n">
        <v>96</v>
      </c>
      <c r="H172" s="100" t="n">
        <v>58</v>
      </c>
      <c r="I172" s="100" t="n">
        <v>48</v>
      </c>
      <c r="J172" s="100" t="n">
        <v>1</v>
      </c>
      <c r="K172" s="100" t="n">
        <v>23</v>
      </c>
      <c r="L172" s="100" t="n">
        <v>2</v>
      </c>
      <c r="M172" s="100" t="n">
        <v>105</v>
      </c>
      <c r="N172" s="99" t="inlineStr">
        <is>
          <t>Healthy</t>
        </is>
      </c>
      <c r="O172" s="100">
        <f>G172+H172</f>
        <v/>
      </c>
      <c r="P172" s="100">
        <f>G172+H172-I172-J172</f>
        <v/>
      </c>
      <c r="Q172" s="100">
        <f>MAX(0,P172)</f>
        <v/>
      </c>
      <c r="R172" s="100">
        <f>MAX(0,-P172)</f>
        <v/>
      </c>
      <c r="S172" s="101">
        <f>IFERROR(J172/O172,0)</f>
        <v/>
      </c>
      <c r="T172" s="101">
        <f>IFERROR(I172/O172,0)</f>
        <v/>
      </c>
      <c r="U172" s="102">
        <f>IF(P172&lt;=K172,"Reorder Required","Stock Sufficient")</f>
        <v/>
      </c>
      <c r="V172" s="102">
        <f>IF(AND(Q172=M172,(U172="Reorder Required")=(N172="Reorder Required")),"OK","Mismatch")</f>
        <v/>
      </c>
      <c r="W172" s="99" t="n"/>
    </row>
    <row r="173">
      <c r="A173" s="99" t="inlineStr">
        <is>
          <t>INV00172</t>
        </is>
      </c>
      <c r="B173" s="99" t="inlineStr">
        <is>
          <t>OUT004</t>
        </is>
      </c>
      <c r="C173" s="99">
        <f>INDEX(Lookup!$B$2:$B$11,MATCH(B173,Lookup!$A$2:$A$11,0))</f>
        <v/>
      </c>
      <c r="D173" s="99" t="inlineStr">
        <is>
          <t>BP022</t>
        </is>
      </c>
      <c r="E173" s="99">
        <f>INDEX(Lookup!$E$2:$E$51,MATCH(D173,Lookup!$D$2:$D$51,0))</f>
        <v/>
      </c>
      <c r="F173" s="99">
        <f>INDEX(Lookup!$F$2:$F$51,MATCH(D173,Lookup!$D$2:$D$51,0))</f>
        <v/>
      </c>
      <c r="G173" s="100" t="n">
        <v>66</v>
      </c>
      <c r="H173" s="100" t="n">
        <v>59</v>
      </c>
      <c r="I173" s="100" t="n">
        <v>89</v>
      </c>
      <c r="J173" s="100" t="n">
        <v>0</v>
      </c>
      <c r="K173" s="100" t="n">
        <v>18</v>
      </c>
      <c r="L173" s="100" t="n">
        <v>1</v>
      </c>
      <c r="M173" s="100" t="n">
        <v>36</v>
      </c>
      <c r="N173" s="99" t="inlineStr">
        <is>
          <t>Healthy</t>
        </is>
      </c>
      <c r="O173" s="100">
        <f>G173+H173</f>
        <v/>
      </c>
      <c r="P173" s="100">
        <f>G173+H173-I173-J173</f>
        <v/>
      </c>
      <c r="Q173" s="100">
        <f>MAX(0,P173)</f>
        <v/>
      </c>
      <c r="R173" s="100">
        <f>MAX(0,-P173)</f>
        <v/>
      </c>
      <c r="S173" s="101">
        <f>IFERROR(J173/O173,0)</f>
        <v/>
      </c>
      <c r="T173" s="101">
        <f>IFERROR(I173/O173,0)</f>
        <v/>
      </c>
      <c r="U173" s="102">
        <f>IF(P173&lt;=K173,"Reorder Required","Stock Sufficient")</f>
        <v/>
      </c>
      <c r="V173" s="102">
        <f>IF(AND(Q173=M173,(U173="Reorder Required")=(N173="Reorder Required")),"OK","Mismatch")</f>
        <v/>
      </c>
      <c r="W173" s="99" t="n"/>
    </row>
    <row r="174">
      <c r="A174" s="99" t="inlineStr">
        <is>
          <t>INV00173</t>
        </is>
      </c>
      <c r="B174" s="99" t="inlineStr">
        <is>
          <t>OUT004</t>
        </is>
      </c>
      <c r="C174" s="99">
        <f>INDEX(Lookup!$B$2:$B$11,MATCH(B174,Lookup!$A$2:$A$11,0))</f>
        <v/>
      </c>
      <c r="D174" s="99" t="inlineStr">
        <is>
          <t>BP023</t>
        </is>
      </c>
      <c r="E174" s="99">
        <f>INDEX(Lookup!$E$2:$E$51,MATCH(D174,Lookup!$D$2:$D$51,0))</f>
        <v/>
      </c>
      <c r="F174" s="99">
        <f>INDEX(Lookup!$F$2:$F$51,MATCH(D174,Lookup!$D$2:$D$51,0))</f>
        <v/>
      </c>
      <c r="G174" s="100" t="n">
        <v>46</v>
      </c>
      <c r="H174" s="100" t="n">
        <v>47</v>
      </c>
      <c r="I174" s="100" t="n">
        <v>91</v>
      </c>
      <c r="J174" s="100" t="n">
        <v>1</v>
      </c>
      <c r="K174" s="100" t="n">
        <v>36</v>
      </c>
      <c r="L174" s="100" t="n">
        <v>3</v>
      </c>
      <c r="M174" s="100" t="n">
        <v>1</v>
      </c>
      <c r="N174" s="99" t="inlineStr">
        <is>
          <t>Reorder Required</t>
        </is>
      </c>
      <c r="O174" s="100">
        <f>G174+H174</f>
        <v/>
      </c>
      <c r="P174" s="100">
        <f>G174+H174-I174-J174</f>
        <v/>
      </c>
      <c r="Q174" s="100">
        <f>MAX(0,P174)</f>
        <v/>
      </c>
      <c r="R174" s="100">
        <f>MAX(0,-P174)</f>
        <v/>
      </c>
      <c r="S174" s="101">
        <f>IFERROR(J174/O174,0)</f>
        <v/>
      </c>
      <c r="T174" s="101">
        <f>IFERROR(I174/O174,0)</f>
        <v/>
      </c>
      <c r="U174" s="102">
        <f>IF(P174&lt;=K174,"Reorder Required","Stock Sufficient")</f>
        <v/>
      </c>
      <c r="V174" s="102">
        <f>IF(AND(Q174=M174,(U174="Reorder Required")=(N174="Reorder Required")),"OK","Mismatch")</f>
        <v/>
      </c>
      <c r="W174" s="99" t="inlineStr">
        <is>
          <t>Restock immediately</t>
        </is>
      </c>
    </row>
    <row r="175">
      <c r="A175" s="99" t="inlineStr">
        <is>
          <t>INV00174</t>
        </is>
      </c>
      <c r="B175" s="99" t="inlineStr">
        <is>
          <t>OUT004</t>
        </is>
      </c>
      <c r="C175" s="99">
        <f>INDEX(Lookup!$B$2:$B$11,MATCH(B175,Lookup!$A$2:$A$11,0))</f>
        <v/>
      </c>
      <c r="D175" s="99" t="inlineStr">
        <is>
          <t>BP024</t>
        </is>
      </c>
      <c r="E175" s="99">
        <f>INDEX(Lookup!$E$2:$E$51,MATCH(D175,Lookup!$D$2:$D$51,0))</f>
        <v/>
      </c>
      <c r="F175" s="99">
        <f>INDEX(Lookup!$F$2:$F$51,MATCH(D175,Lookup!$D$2:$D$51,0))</f>
        <v/>
      </c>
      <c r="G175" s="100" t="n">
        <v>53</v>
      </c>
      <c r="H175" s="100" t="n">
        <v>87</v>
      </c>
      <c r="I175" s="100" t="n">
        <v>78</v>
      </c>
      <c r="J175" s="100" t="n">
        <v>0</v>
      </c>
      <c r="K175" s="100" t="n">
        <v>32</v>
      </c>
      <c r="L175" s="100" t="n">
        <v>2</v>
      </c>
      <c r="M175" s="100" t="n">
        <v>62</v>
      </c>
      <c r="N175" s="99" t="inlineStr">
        <is>
          <t>Healthy</t>
        </is>
      </c>
      <c r="O175" s="100">
        <f>G175+H175</f>
        <v/>
      </c>
      <c r="P175" s="100">
        <f>G175+H175-I175-J175</f>
        <v/>
      </c>
      <c r="Q175" s="100">
        <f>MAX(0,P175)</f>
        <v/>
      </c>
      <c r="R175" s="100">
        <f>MAX(0,-P175)</f>
        <v/>
      </c>
      <c r="S175" s="101">
        <f>IFERROR(J175/O175,0)</f>
        <v/>
      </c>
      <c r="T175" s="101">
        <f>IFERROR(I175/O175,0)</f>
        <v/>
      </c>
      <c r="U175" s="102">
        <f>IF(P175&lt;=K175,"Reorder Required","Stock Sufficient")</f>
        <v/>
      </c>
      <c r="V175" s="102">
        <f>IF(AND(Q175=M175,(U175="Reorder Required")=(N175="Reorder Required")),"OK","Mismatch")</f>
        <v/>
      </c>
      <c r="W175" s="99" t="n"/>
    </row>
    <row r="176">
      <c r="A176" s="99" t="inlineStr">
        <is>
          <t>INV00175</t>
        </is>
      </c>
      <c r="B176" s="99" t="inlineStr">
        <is>
          <t>OUT004</t>
        </is>
      </c>
      <c r="C176" s="99">
        <f>INDEX(Lookup!$B$2:$B$11,MATCH(B176,Lookup!$A$2:$A$11,0))</f>
        <v/>
      </c>
      <c r="D176" s="99" t="inlineStr">
        <is>
          <t>BP025</t>
        </is>
      </c>
      <c r="E176" s="99">
        <f>INDEX(Lookup!$E$2:$E$51,MATCH(D176,Lookup!$D$2:$D$51,0))</f>
        <v/>
      </c>
      <c r="F176" s="99">
        <f>INDEX(Lookup!$F$2:$F$51,MATCH(D176,Lookup!$D$2:$D$51,0))</f>
        <v/>
      </c>
      <c r="G176" s="100" t="n">
        <v>111</v>
      </c>
      <c r="H176" s="100" t="n">
        <v>22</v>
      </c>
      <c r="I176" s="100" t="n">
        <v>114</v>
      </c>
      <c r="J176" s="100" t="n">
        <v>3</v>
      </c>
      <c r="K176" s="100" t="n">
        <v>21</v>
      </c>
      <c r="L176" s="100" t="n">
        <v>3</v>
      </c>
      <c r="M176" s="100" t="n">
        <v>16</v>
      </c>
      <c r="N176" s="99" t="inlineStr">
        <is>
          <t>Reorder Required</t>
        </is>
      </c>
      <c r="O176" s="100">
        <f>G176+H176</f>
        <v/>
      </c>
      <c r="P176" s="100">
        <f>G176+H176-I176-J176</f>
        <v/>
      </c>
      <c r="Q176" s="100">
        <f>MAX(0,P176)</f>
        <v/>
      </c>
      <c r="R176" s="100">
        <f>MAX(0,-P176)</f>
        <v/>
      </c>
      <c r="S176" s="101">
        <f>IFERROR(J176/O176,0)</f>
        <v/>
      </c>
      <c r="T176" s="101">
        <f>IFERROR(I176/O176,0)</f>
        <v/>
      </c>
      <c r="U176" s="102">
        <f>IF(P176&lt;=K176,"Reorder Required","Stock Sufficient")</f>
        <v/>
      </c>
      <c r="V176" s="102">
        <f>IF(AND(Q176=M176,(U176="Reorder Required")=(N176="Reorder Required")),"OK","Mismatch")</f>
        <v/>
      </c>
      <c r="W176" s="99" t="inlineStr">
        <is>
          <t>Restock immediately</t>
        </is>
      </c>
    </row>
    <row r="177">
      <c r="A177" s="99" t="inlineStr">
        <is>
          <t>INV00176</t>
        </is>
      </c>
      <c r="B177" s="99" t="inlineStr">
        <is>
          <t>OUT004</t>
        </is>
      </c>
      <c r="C177" s="99">
        <f>INDEX(Lookup!$B$2:$B$11,MATCH(B177,Lookup!$A$2:$A$11,0))</f>
        <v/>
      </c>
      <c r="D177" s="99" t="inlineStr">
        <is>
          <t>BP026</t>
        </is>
      </c>
      <c r="E177" s="99">
        <f>INDEX(Lookup!$E$2:$E$51,MATCH(D177,Lookup!$D$2:$D$51,0))</f>
        <v/>
      </c>
      <c r="F177" s="99">
        <f>INDEX(Lookup!$F$2:$F$51,MATCH(D177,Lookup!$D$2:$D$51,0))</f>
        <v/>
      </c>
      <c r="G177" s="100" t="n">
        <v>53</v>
      </c>
      <c r="H177" s="100" t="n">
        <v>90</v>
      </c>
      <c r="I177" s="100" t="n">
        <v>130</v>
      </c>
      <c r="J177" s="100" t="n">
        <v>1</v>
      </c>
      <c r="K177" s="100" t="n">
        <v>27</v>
      </c>
      <c r="L177" s="100" t="n">
        <v>4</v>
      </c>
      <c r="M177" s="100" t="n">
        <v>12</v>
      </c>
      <c r="N177" s="99" t="inlineStr">
        <is>
          <t>Reorder Required</t>
        </is>
      </c>
      <c r="O177" s="100">
        <f>G177+H177</f>
        <v/>
      </c>
      <c r="P177" s="100">
        <f>G177+H177-I177-J177</f>
        <v/>
      </c>
      <c r="Q177" s="100">
        <f>MAX(0,P177)</f>
        <v/>
      </c>
      <c r="R177" s="100">
        <f>MAX(0,-P177)</f>
        <v/>
      </c>
      <c r="S177" s="101">
        <f>IFERROR(J177/O177,0)</f>
        <v/>
      </c>
      <c r="T177" s="101">
        <f>IFERROR(I177/O177,0)</f>
        <v/>
      </c>
      <c r="U177" s="102">
        <f>IF(P177&lt;=K177,"Reorder Required","Stock Sufficient")</f>
        <v/>
      </c>
      <c r="V177" s="102">
        <f>IF(AND(Q177=M177,(U177="Reorder Required")=(N177="Reorder Required")),"OK","Mismatch")</f>
        <v/>
      </c>
      <c r="W177" s="99" t="inlineStr">
        <is>
          <t>Restock immediately</t>
        </is>
      </c>
    </row>
    <row r="178">
      <c r="A178" s="99" t="inlineStr">
        <is>
          <t>INV00177</t>
        </is>
      </c>
      <c r="B178" s="99" t="inlineStr">
        <is>
          <t>OUT004</t>
        </is>
      </c>
      <c r="C178" s="99">
        <f>INDEX(Lookup!$B$2:$B$11,MATCH(B178,Lookup!$A$2:$A$11,0))</f>
        <v/>
      </c>
      <c r="D178" s="99" t="inlineStr">
        <is>
          <t>BP027</t>
        </is>
      </c>
      <c r="E178" s="99">
        <f>INDEX(Lookup!$E$2:$E$51,MATCH(D178,Lookup!$D$2:$D$51,0))</f>
        <v/>
      </c>
      <c r="F178" s="99">
        <f>INDEX(Lookup!$F$2:$F$51,MATCH(D178,Lookup!$D$2:$D$51,0))</f>
        <v/>
      </c>
      <c r="G178" s="100" t="n">
        <v>76</v>
      </c>
      <c r="H178" s="100" t="n">
        <v>43</v>
      </c>
      <c r="I178" s="100" t="n">
        <v>77</v>
      </c>
      <c r="J178" s="100" t="n">
        <v>3</v>
      </c>
      <c r="K178" s="100" t="n">
        <v>38</v>
      </c>
      <c r="L178" s="100" t="n">
        <v>3</v>
      </c>
      <c r="M178" s="100" t="n">
        <v>39</v>
      </c>
      <c r="N178" s="99" t="inlineStr">
        <is>
          <t>Healthy</t>
        </is>
      </c>
      <c r="O178" s="100">
        <f>G178+H178</f>
        <v/>
      </c>
      <c r="P178" s="100">
        <f>G178+H178-I178-J178</f>
        <v/>
      </c>
      <c r="Q178" s="100">
        <f>MAX(0,P178)</f>
        <v/>
      </c>
      <c r="R178" s="100">
        <f>MAX(0,-P178)</f>
        <v/>
      </c>
      <c r="S178" s="101">
        <f>IFERROR(J178/O178,0)</f>
        <v/>
      </c>
      <c r="T178" s="101">
        <f>IFERROR(I178/O178,0)</f>
        <v/>
      </c>
      <c r="U178" s="102">
        <f>IF(P178&lt;=K178,"Reorder Required","Stock Sufficient")</f>
        <v/>
      </c>
      <c r="V178" s="102">
        <f>IF(AND(Q178=M178,(U178="Reorder Required")=(N178="Reorder Required")),"OK","Mismatch")</f>
        <v/>
      </c>
      <c r="W178" s="99" t="n"/>
    </row>
    <row r="179">
      <c r="A179" s="99" t="inlineStr">
        <is>
          <t>INV00178</t>
        </is>
      </c>
      <c r="B179" s="99" t="inlineStr">
        <is>
          <t>OUT004</t>
        </is>
      </c>
      <c r="C179" s="99">
        <f>INDEX(Lookup!$B$2:$B$11,MATCH(B179,Lookup!$A$2:$A$11,0))</f>
        <v/>
      </c>
      <c r="D179" s="99" t="inlineStr">
        <is>
          <t>BP028</t>
        </is>
      </c>
      <c r="E179" s="99">
        <f>INDEX(Lookup!$E$2:$E$51,MATCH(D179,Lookup!$D$2:$D$51,0))</f>
        <v/>
      </c>
      <c r="F179" s="99">
        <f>INDEX(Lookup!$F$2:$F$51,MATCH(D179,Lookup!$D$2:$D$51,0))</f>
        <v/>
      </c>
      <c r="G179" s="100" t="n">
        <v>136</v>
      </c>
      <c r="H179" s="100" t="n">
        <v>57</v>
      </c>
      <c r="I179" s="100" t="n">
        <v>69</v>
      </c>
      <c r="J179" s="100" t="n">
        <v>1</v>
      </c>
      <c r="K179" s="100" t="n">
        <v>38</v>
      </c>
      <c r="L179" s="100" t="n">
        <v>2</v>
      </c>
      <c r="M179" s="100" t="n">
        <v>123</v>
      </c>
      <c r="N179" s="99" t="inlineStr">
        <is>
          <t>Healthy</t>
        </is>
      </c>
      <c r="O179" s="100">
        <f>G179+H179</f>
        <v/>
      </c>
      <c r="P179" s="100">
        <f>G179+H179-I179-J179</f>
        <v/>
      </c>
      <c r="Q179" s="100">
        <f>MAX(0,P179)</f>
        <v/>
      </c>
      <c r="R179" s="100">
        <f>MAX(0,-P179)</f>
        <v/>
      </c>
      <c r="S179" s="101">
        <f>IFERROR(J179/O179,0)</f>
        <v/>
      </c>
      <c r="T179" s="101">
        <f>IFERROR(I179/O179,0)</f>
        <v/>
      </c>
      <c r="U179" s="102">
        <f>IF(P179&lt;=K179,"Reorder Required","Stock Sufficient")</f>
        <v/>
      </c>
      <c r="V179" s="102">
        <f>IF(AND(Q179=M179,(U179="Reorder Required")=(N179="Reorder Required")),"OK","Mismatch")</f>
        <v/>
      </c>
      <c r="W179" s="99" t="n"/>
    </row>
    <row r="180">
      <c r="A180" s="99" t="inlineStr">
        <is>
          <t>INV00179</t>
        </is>
      </c>
      <c r="B180" s="99" t="inlineStr">
        <is>
          <t>OUT004</t>
        </is>
      </c>
      <c r="C180" s="99">
        <f>INDEX(Lookup!$B$2:$B$11,MATCH(B180,Lookup!$A$2:$A$11,0))</f>
        <v/>
      </c>
      <c r="D180" s="99" t="inlineStr">
        <is>
          <t>BP029</t>
        </is>
      </c>
      <c r="E180" s="99">
        <f>INDEX(Lookup!$E$2:$E$51,MATCH(D180,Lookup!$D$2:$D$51,0))</f>
        <v/>
      </c>
      <c r="F180" s="99">
        <f>INDEX(Lookup!$F$2:$F$51,MATCH(D180,Lookup!$D$2:$D$51,0))</f>
        <v/>
      </c>
      <c r="G180" s="100" t="n">
        <v>144</v>
      </c>
      <c r="H180" s="100" t="n">
        <v>94</v>
      </c>
      <c r="I180" s="100" t="n">
        <v>75</v>
      </c>
      <c r="J180" s="100" t="n">
        <v>2</v>
      </c>
      <c r="K180" s="100" t="n">
        <v>23</v>
      </c>
      <c r="L180" s="100" t="n">
        <v>4</v>
      </c>
      <c r="M180" s="100" t="n">
        <v>161</v>
      </c>
      <c r="N180" s="99" t="inlineStr">
        <is>
          <t>Healthy</t>
        </is>
      </c>
      <c r="O180" s="100">
        <f>G180+H180</f>
        <v/>
      </c>
      <c r="P180" s="100">
        <f>G180+H180-I180-J180</f>
        <v/>
      </c>
      <c r="Q180" s="100">
        <f>MAX(0,P180)</f>
        <v/>
      </c>
      <c r="R180" s="100">
        <f>MAX(0,-P180)</f>
        <v/>
      </c>
      <c r="S180" s="101">
        <f>IFERROR(J180/O180,0)</f>
        <v/>
      </c>
      <c r="T180" s="101">
        <f>IFERROR(I180/O180,0)</f>
        <v/>
      </c>
      <c r="U180" s="102">
        <f>IF(P180&lt;=K180,"Reorder Required","Stock Sufficient")</f>
        <v/>
      </c>
      <c r="V180" s="102">
        <f>IF(AND(Q180=M180,(U180="Reorder Required")=(N180="Reorder Required")),"OK","Mismatch")</f>
        <v/>
      </c>
      <c r="W180" s="99" t="n"/>
    </row>
    <row r="181">
      <c r="A181" s="99" t="inlineStr">
        <is>
          <t>INV00180</t>
        </is>
      </c>
      <c r="B181" s="99" t="inlineStr">
        <is>
          <t>OUT004</t>
        </is>
      </c>
      <c r="C181" s="99">
        <f>INDEX(Lookup!$B$2:$B$11,MATCH(B181,Lookup!$A$2:$A$11,0))</f>
        <v/>
      </c>
      <c r="D181" s="99" t="inlineStr">
        <is>
          <t>BP030</t>
        </is>
      </c>
      <c r="E181" s="99">
        <f>INDEX(Lookup!$E$2:$E$51,MATCH(D181,Lookup!$D$2:$D$51,0))</f>
        <v/>
      </c>
      <c r="F181" s="99">
        <f>INDEX(Lookup!$F$2:$F$51,MATCH(D181,Lookup!$D$2:$D$51,0))</f>
        <v/>
      </c>
      <c r="G181" s="100" t="n">
        <v>104</v>
      </c>
      <c r="H181" s="100" t="n">
        <v>59</v>
      </c>
      <c r="I181" s="100" t="n">
        <v>47</v>
      </c>
      <c r="J181" s="100" t="n">
        <v>4</v>
      </c>
      <c r="K181" s="100" t="n">
        <v>23</v>
      </c>
      <c r="L181" s="100" t="n">
        <v>2</v>
      </c>
      <c r="M181" s="100" t="n">
        <v>112</v>
      </c>
      <c r="N181" s="99" t="inlineStr">
        <is>
          <t>Healthy</t>
        </is>
      </c>
      <c r="O181" s="100">
        <f>G181+H181</f>
        <v/>
      </c>
      <c r="P181" s="100">
        <f>G181+H181-I181-J181</f>
        <v/>
      </c>
      <c r="Q181" s="100">
        <f>MAX(0,P181)</f>
        <v/>
      </c>
      <c r="R181" s="100">
        <f>MAX(0,-P181)</f>
        <v/>
      </c>
      <c r="S181" s="101">
        <f>IFERROR(J181/O181,0)</f>
        <v/>
      </c>
      <c r="T181" s="101">
        <f>IFERROR(I181/O181,0)</f>
        <v/>
      </c>
      <c r="U181" s="102">
        <f>IF(P181&lt;=K181,"Reorder Required","Stock Sufficient")</f>
        <v/>
      </c>
      <c r="V181" s="102">
        <f>IF(AND(Q181=M181,(U181="Reorder Required")=(N181="Reorder Required")),"OK","Mismatch")</f>
        <v/>
      </c>
      <c r="W181" s="99" t="n"/>
    </row>
    <row r="182">
      <c r="A182" s="99" t="inlineStr">
        <is>
          <t>INV00181</t>
        </is>
      </c>
      <c r="B182" s="99" t="inlineStr">
        <is>
          <t>OUT004</t>
        </is>
      </c>
      <c r="C182" s="99">
        <f>INDEX(Lookup!$B$2:$B$11,MATCH(B182,Lookup!$A$2:$A$11,0))</f>
        <v/>
      </c>
      <c r="D182" s="99" t="inlineStr">
        <is>
          <t>BP031</t>
        </is>
      </c>
      <c r="E182" s="99">
        <f>INDEX(Lookup!$E$2:$E$51,MATCH(D182,Lookup!$D$2:$D$51,0))</f>
        <v/>
      </c>
      <c r="F182" s="99">
        <f>INDEX(Lookup!$F$2:$F$51,MATCH(D182,Lookup!$D$2:$D$51,0))</f>
        <v/>
      </c>
      <c r="G182" s="100" t="n">
        <v>116</v>
      </c>
      <c r="H182" s="100" t="n">
        <v>92</v>
      </c>
      <c r="I182" s="100" t="n">
        <v>96</v>
      </c>
      <c r="J182" s="100" t="n">
        <v>8</v>
      </c>
      <c r="K182" s="100" t="n">
        <v>40</v>
      </c>
      <c r="L182" s="100" t="n">
        <v>1</v>
      </c>
      <c r="M182" s="100" t="n">
        <v>104</v>
      </c>
      <c r="N182" s="99" t="inlineStr">
        <is>
          <t>Healthy</t>
        </is>
      </c>
      <c r="O182" s="100">
        <f>G182+H182</f>
        <v/>
      </c>
      <c r="P182" s="100">
        <f>G182+H182-I182-J182</f>
        <v/>
      </c>
      <c r="Q182" s="100">
        <f>MAX(0,P182)</f>
        <v/>
      </c>
      <c r="R182" s="100">
        <f>MAX(0,-P182)</f>
        <v/>
      </c>
      <c r="S182" s="101">
        <f>IFERROR(J182/O182,0)</f>
        <v/>
      </c>
      <c r="T182" s="101">
        <f>IFERROR(I182/O182,0)</f>
        <v/>
      </c>
      <c r="U182" s="102">
        <f>IF(P182&lt;=K182,"Reorder Required","Stock Sufficient")</f>
        <v/>
      </c>
      <c r="V182" s="102">
        <f>IF(AND(Q182=M182,(U182="Reorder Required")=(N182="Reorder Required")),"OK","Mismatch")</f>
        <v/>
      </c>
      <c r="W182" s="99" t="n"/>
    </row>
    <row r="183">
      <c r="A183" s="99" t="inlineStr">
        <is>
          <t>INV00182</t>
        </is>
      </c>
      <c r="B183" s="99" t="inlineStr">
        <is>
          <t>OUT004</t>
        </is>
      </c>
      <c r="C183" s="99">
        <f>INDEX(Lookup!$B$2:$B$11,MATCH(B183,Lookup!$A$2:$A$11,0))</f>
        <v/>
      </c>
      <c r="D183" s="99" t="inlineStr">
        <is>
          <t>BP032</t>
        </is>
      </c>
      <c r="E183" s="99">
        <f>INDEX(Lookup!$E$2:$E$51,MATCH(D183,Lookup!$D$2:$D$51,0))</f>
        <v/>
      </c>
      <c r="F183" s="99">
        <f>INDEX(Lookup!$F$2:$F$51,MATCH(D183,Lookup!$D$2:$D$51,0))</f>
        <v/>
      </c>
      <c r="G183" s="100" t="n">
        <v>62</v>
      </c>
      <c r="H183" s="100" t="n">
        <v>52</v>
      </c>
      <c r="I183" s="100" t="n">
        <v>103</v>
      </c>
      <c r="J183" s="100" t="n">
        <v>3</v>
      </c>
      <c r="K183" s="100" t="n">
        <v>21</v>
      </c>
      <c r="L183" s="100" t="n">
        <v>3</v>
      </c>
      <c r="M183" s="100" t="n">
        <v>8</v>
      </c>
      <c r="N183" s="99" t="inlineStr">
        <is>
          <t>Reorder Required</t>
        </is>
      </c>
      <c r="O183" s="100">
        <f>G183+H183</f>
        <v/>
      </c>
      <c r="P183" s="100">
        <f>G183+H183-I183-J183</f>
        <v/>
      </c>
      <c r="Q183" s="100">
        <f>MAX(0,P183)</f>
        <v/>
      </c>
      <c r="R183" s="100">
        <f>MAX(0,-P183)</f>
        <v/>
      </c>
      <c r="S183" s="101">
        <f>IFERROR(J183/O183,0)</f>
        <v/>
      </c>
      <c r="T183" s="101">
        <f>IFERROR(I183/O183,0)</f>
        <v/>
      </c>
      <c r="U183" s="102">
        <f>IF(P183&lt;=K183,"Reorder Required","Stock Sufficient")</f>
        <v/>
      </c>
      <c r="V183" s="102">
        <f>IF(AND(Q183=M183,(U183="Reorder Required")=(N183="Reorder Required")),"OK","Mismatch")</f>
        <v/>
      </c>
      <c r="W183" s="99" t="inlineStr">
        <is>
          <t>Restock immediately</t>
        </is>
      </c>
    </row>
    <row r="184">
      <c r="A184" s="99" t="inlineStr">
        <is>
          <t>INV00183</t>
        </is>
      </c>
      <c r="B184" s="99" t="inlineStr">
        <is>
          <t>OUT004</t>
        </is>
      </c>
      <c r="C184" s="99">
        <f>INDEX(Lookup!$B$2:$B$11,MATCH(B184,Lookup!$A$2:$A$11,0))</f>
        <v/>
      </c>
      <c r="D184" s="99" t="inlineStr">
        <is>
          <t>BP033</t>
        </is>
      </c>
      <c r="E184" s="99">
        <f>INDEX(Lookup!$E$2:$E$51,MATCH(D184,Lookup!$D$2:$D$51,0))</f>
        <v/>
      </c>
      <c r="F184" s="99">
        <f>INDEX(Lookup!$F$2:$F$51,MATCH(D184,Lookup!$D$2:$D$51,0))</f>
        <v/>
      </c>
      <c r="G184" s="100" t="n">
        <v>59</v>
      </c>
      <c r="H184" s="100" t="n">
        <v>30</v>
      </c>
      <c r="I184" s="100" t="n">
        <v>50</v>
      </c>
      <c r="J184" s="100" t="n">
        <v>7</v>
      </c>
      <c r="K184" s="100" t="n">
        <v>34</v>
      </c>
      <c r="L184" s="100" t="n">
        <v>5</v>
      </c>
      <c r="M184" s="100" t="n">
        <v>32</v>
      </c>
      <c r="N184" s="99" t="inlineStr">
        <is>
          <t>Reorder Required</t>
        </is>
      </c>
      <c r="O184" s="100">
        <f>G184+H184</f>
        <v/>
      </c>
      <c r="P184" s="100">
        <f>G184+H184-I184-J184</f>
        <v/>
      </c>
      <c r="Q184" s="100">
        <f>MAX(0,P184)</f>
        <v/>
      </c>
      <c r="R184" s="100">
        <f>MAX(0,-P184)</f>
        <v/>
      </c>
      <c r="S184" s="101">
        <f>IFERROR(J184/O184,0)</f>
        <v/>
      </c>
      <c r="T184" s="101">
        <f>IFERROR(I184/O184,0)</f>
        <v/>
      </c>
      <c r="U184" s="102">
        <f>IF(P184&lt;=K184,"Reorder Required","Stock Sufficient")</f>
        <v/>
      </c>
      <c r="V184" s="102">
        <f>IF(AND(Q184=M184,(U184="Reorder Required")=(N184="Reorder Required")),"OK","Mismatch")</f>
        <v/>
      </c>
      <c r="W184" s="99" t="inlineStr">
        <is>
          <t>Restock immediately</t>
        </is>
      </c>
    </row>
    <row r="185">
      <c r="A185" s="99" t="inlineStr">
        <is>
          <t>INV00184</t>
        </is>
      </c>
      <c r="B185" s="99" t="inlineStr">
        <is>
          <t>OUT004</t>
        </is>
      </c>
      <c r="C185" s="99">
        <f>INDEX(Lookup!$B$2:$B$11,MATCH(B185,Lookup!$A$2:$A$11,0))</f>
        <v/>
      </c>
      <c r="D185" s="99" t="inlineStr">
        <is>
          <t>BP034</t>
        </is>
      </c>
      <c r="E185" s="99">
        <f>INDEX(Lookup!$E$2:$E$51,MATCH(D185,Lookup!$D$2:$D$51,0))</f>
        <v/>
      </c>
      <c r="F185" s="99">
        <f>INDEX(Lookup!$F$2:$F$51,MATCH(D185,Lookup!$D$2:$D$51,0))</f>
        <v/>
      </c>
      <c r="G185" s="100" t="n">
        <v>138</v>
      </c>
      <c r="H185" s="100" t="n">
        <v>67</v>
      </c>
      <c r="I185" s="100" t="n">
        <v>98</v>
      </c>
      <c r="J185" s="100" t="n">
        <v>2</v>
      </c>
      <c r="K185" s="100" t="n">
        <v>26</v>
      </c>
      <c r="L185" s="100" t="n">
        <v>1</v>
      </c>
      <c r="M185" s="100" t="n">
        <v>105</v>
      </c>
      <c r="N185" s="99" t="inlineStr">
        <is>
          <t>Healthy</t>
        </is>
      </c>
      <c r="O185" s="100">
        <f>G185+H185</f>
        <v/>
      </c>
      <c r="P185" s="100">
        <f>G185+H185-I185-J185</f>
        <v/>
      </c>
      <c r="Q185" s="100">
        <f>MAX(0,P185)</f>
        <v/>
      </c>
      <c r="R185" s="100">
        <f>MAX(0,-P185)</f>
        <v/>
      </c>
      <c r="S185" s="101">
        <f>IFERROR(J185/O185,0)</f>
        <v/>
      </c>
      <c r="T185" s="101">
        <f>IFERROR(I185/O185,0)</f>
        <v/>
      </c>
      <c r="U185" s="102">
        <f>IF(P185&lt;=K185,"Reorder Required","Stock Sufficient")</f>
        <v/>
      </c>
      <c r="V185" s="102">
        <f>IF(AND(Q185=M185,(U185="Reorder Required")=(N185="Reorder Required")),"OK","Mismatch")</f>
        <v/>
      </c>
      <c r="W185" s="99" t="n"/>
    </row>
    <row r="186">
      <c r="A186" s="99" t="inlineStr">
        <is>
          <t>INV00185</t>
        </is>
      </c>
      <c r="B186" s="99" t="inlineStr">
        <is>
          <t>OUT004</t>
        </is>
      </c>
      <c r="C186" s="99">
        <f>INDEX(Lookup!$B$2:$B$11,MATCH(B186,Lookup!$A$2:$A$11,0))</f>
        <v/>
      </c>
      <c r="D186" s="99" t="inlineStr">
        <is>
          <t>BP035</t>
        </is>
      </c>
      <c r="E186" s="99">
        <f>INDEX(Lookup!$E$2:$E$51,MATCH(D186,Lookup!$D$2:$D$51,0))</f>
        <v/>
      </c>
      <c r="F186" s="99">
        <f>INDEX(Lookup!$F$2:$F$51,MATCH(D186,Lookup!$D$2:$D$51,0))</f>
        <v/>
      </c>
      <c r="G186" s="100" t="n">
        <v>60</v>
      </c>
      <c r="H186" s="100" t="n">
        <v>80</v>
      </c>
      <c r="I186" s="100" t="n">
        <v>87</v>
      </c>
      <c r="J186" s="100" t="n">
        <v>4</v>
      </c>
      <c r="K186" s="100" t="n">
        <v>33</v>
      </c>
      <c r="L186" s="100" t="n">
        <v>5</v>
      </c>
      <c r="M186" s="100" t="n">
        <v>49</v>
      </c>
      <c r="N186" s="99" t="inlineStr">
        <is>
          <t>Healthy</t>
        </is>
      </c>
      <c r="O186" s="100">
        <f>G186+H186</f>
        <v/>
      </c>
      <c r="P186" s="100">
        <f>G186+H186-I186-J186</f>
        <v/>
      </c>
      <c r="Q186" s="100">
        <f>MAX(0,P186)</f>
        <v/>
      </c>
      <c r="R186" s="100">
        <f>MAX(0,-P186)</f>
        <v/>
      </c>
      <c r="S186" s="101">
        <f>IFERROR(J186/O186,0)</f>
        <v/>
      </c>
      <c r="T186" s="101">
        <f>IFERROR(I186/O186,0)</f>
        <v/>
      </c>
      <c r="U186" s="102">
        <f>IF(P186&lt;=K186,"Reorder Required","Stock Sufficient")</f>
        <v/>
      </c>
      <c r="V186" s="102">
        <f>IF(AND(Q186=M186,(U186="Reorder Required")=(N186="Reorder Required")),"OK","Mismatch")</f>
        <v/>
      </c>
      <c r="W186" s="99" t="n"/>
    </row>
    <row r="187">
      <c r="A187" s="99" t="inlineStr">
        <is>
          <t>INV00186</t>
        </is>
      </c>
      <c r="B187" s="99" t="inlineStr">
        <is>
          <t>OUT004</t>
        </is>
      </c>
      <c r="C187" s="99">
        <f>INDEX(Lookup!$B$2:$B$11,MATCH(B187,Lookup!$A$2:$A$11,0))</f>
        <v/>
      </c>
      <c r="D187" s="99" t="inlineStr">
        <is>
          <t>BP036</t>
        </is>
      </c>
      <c r="E187" s="99">
        <f>INDEX(Lookup!$E$2:$E$51,MATCH(D187,Lookup!$D$2:$D$51,0))</f>
        <v/>
      </c>
      <c r="F187" s="99">
        <f>INDEX(Lookup!$F$2:$F$51,MATCH(D187,Lookup!$D$2:$D$51,0))</f>
        <v/>
      </c>
      <c r="G187" s="100" t="n">
        <v>98</v>
      </c>
      <c r="H187" s="100" t="n">
        <v>20</v>
      </c>
      <c r="I187" s="100" t="n">
        <v>69</v>
      </c>
      <c r="J187" s="100" t="n">
        <v>7</v>
      </c>
      <c r="K187" s="100" t="n">
        <v>17</v>
      </c>
      <c r="L187" s="100" t="n">
        <v>3</v>
      </c>
      <c r="M187" s="100" t="n">
        <v>42</v>
      </c>
      <c r="N187" s="99" t="inlineStr">
        <is>
          <t>Healthy</t>
        </is>
      </c>
      <c r="O187" s="100">
        <f>G187+H187</f>
        <v/>
      </c>
      <c r="P187" s="100">
        <f>G187+H187-I187-J187</f>
        <v/>
      </c>
      <c r="Q187" s="100">
        <f>MAX(0,P187)</f>
        <v/>
      </c>
      <c r="R187" s="100">
        <f>MAX(0,-P187)</f>
        <v/>
      </c>
      <c r="S187" s="101">
        <f>IFERROR(J187/O187,0)</f>
        <v/>
      </c>
      <c r="T187" s="101">
        <f>IFERROR(I187/O187,0)</f>
        <v/>
      </c>
      <c r="U187" s="102">
        <f>IF(P187&lt;=K187,"Reorder Required","Stock Sufficient")</f>
        <v/>
      </c>
      <c r="V187" s="102">
        <f>IF(AND(Q187=M187,(U187="Reorder Required")=(N187="Reorder Required")),"OK","Mismatch")</f>
        <v/>
      </c>
      <c r="W187" s="99" t="n"/>
    </row>
    <row r="188">
      <c r="A188" s="99" t="inlineStr">
        <is>
          <t>INV00187</t>
        </is>
      </c>
      <c r="B188" s="99" t="inlineStr">
        <is>
          <t>OUT004</t>
        </is>
      </c>
      <c r="C188" s="99">
        <f>INDEX(Lookup!$B$2:$B$11,MATCH(B188,Lookup!$A$2:$A$11,0))</f>
        <v/>
      </c>
      <c r="D188" s="99" t="inlineStr">
        <is>
          <t>BP037</t>
        </is>
      </c>
      <c r="E188" s="99">
        <f>INDEX(Lookup!$E$2:$E$51,MATCH(D188,Lookup!$D$2:$D$51,0))</f>
        <v/>
      </c>
      <c r="F188" s="99">
        <f>INDEX(Lookup!$F$2:$F$51,MATCH(D188,Lookup!$D$2:$D$51,0))</f>
        <v/>
      </c>
      <c r="G188" s="100" t="n">
        <v>109</v>
      </c>
      <c r="H188" s="100" t="n">
        <v>74</v>
      </c>
      <c r="I188" s="100" t="n">
        <v>70</v>
      </c>
      <c r="J188" s="100" t="n">
        <v>7</v>
      </c>
      <c r="K188" s="100" t="n">
        <v>33</v>
      </c>
      <c r="L188" s="100" t="n">
        <v>2</v>
      </c>
      <c r="M188" s="100" t="n">
        <v>106</v>
      </c>
      <c r="N188" s="99" t="inlineStr">
        <is>
          <t>Healthy</t>
        </is>
      </c>
      <c r="O188" s="100">
        <f>G188+H188</f>
        <v/>
      </c>
      <c r="P188" s="100">
        <f>G188+H188-I188-J188</f>
        <v/>
      </c>
      <c r="Q188" s="100">
        <f>MAX(0,P188)</f>
        <v/>
      </c>
      <c r="R188" s="100">
        <f>MAX(0,-P188)</f>
        <v/>
      </c>
      <c r="S188" s="101">
        <f>IFERROR(J188/O188,0)</f>
        <v/>
      </c>
      <c r="T188" s="101">
        <f>IFERROR(I188/O188,0)</f>
        <v/>
      </c>
      <c r="U188" s="102">
        <f>IF(P188&lt;=K188,"Reorder Required","Stock Sufficient")</f>
        <v/>
      </c>
      <c r="V188" s="102">
        <f>IF(AND(Q188=M188,(U188="Reorder Required")=(N188="Reorder Required")),"OK","Mismatch")</f>
        <v/>
      </c>
      <c r="W188" s="99" t="n"/>
    </row>
    <row r="189">
      <c r="A189" s="99" t="inlineStr">
        <is>
          <t>INV00188</t>
        </is>
      </c>
      <c r="B189" s="99" t="inlineStr">
        <is>
          <t>OUT004</t>
        </is>
      </c>
      <c r="C189" s="99">
        <f>INDEX(Lookup!$B$2:$B$11,MATCH(B189,Lookup!$A$2:$A$11,0))</f>
        <v/>
      </c>
      <c r="D189" s="99" t="inlineStr">
        <is>
          <t>BP038</t>
        </is>
      </c>
      <c r="E189" s="99">
        <f>INDEX(Lookup!$E$2:$E$51,MATCH(D189,Lookup!$D$2:$D$51,0))</f>
        <v/>
      </c>
      <c r="F189" s="99">
        <f>INDEX(Lookup!$F$2:$F$51,MATCH(D189,Lookup!$D$2:$D$51,0))</f>
        <v/>
      </c>
      <c r="G189" s="100" t="n">
        <v>95</v>
      </c>
      <c r="H189" s="100" t="n">
        <v>57</v>
      </c>
      <c r="I189" s="100" t="n">
        <v>32</v>
      </c>
      <c r="J189" s="100" t="n">
        <v>4</v>
      </c>
      <c r="K189" s="100" t="n">
        <v>37</v>
      </c>
      <c r="L189" s="100" t="n">
        <v>1</v>
      </c>
      <c r="M189" s="100" t="n">
        <v>116</v>
      </c>
      <c r="N189" s="99" t="inlineStr">
        <is>
          <t>Healthy</t>
        </is>
      </c>
      <c r="O189" s="100">
        <f>G189+H189</f>
        <v/>
      </c>
      <c r="P189" s="100">
        <f>G189+H189-I189-J189</f>
        <v/>
      </c>
      <c r="Q189" s="100">
        <f>MAX(0,P189)</f>
        <v/>
      </c>
      <c r="R189" s="100">
        <f>MAX(0,-P189)</f>
        <v/>
      </c>
      <c r="S189" s="101">
        <f>IFERROR(J189/O189,0)</f>
        <v/>
      </c>
      <c r="T189" s="101">
        <f>IFERROR(I189/O189,0)</f>
        <v/>
      </c>
      <c r="U189" s="102">
        <f>IF(P189&lt;=K189,"Reorder Required","Stock Sufficient")</f>
        <v/>
      </c>
      <c r="V189" s="102">
        <f>IF(AND(Q189=M189,(U189="Reorder Required")=(N189="Reorder Required")),"OK","Mismatch")</f>
        <v/>
      </c>
      <c r="W189" s="99" t="n"/>
    </row>
    <row r="190">
      <c r="A190" s="99" t="inlineStr">
        <is>
          <t>INV00189</t>
        </is>
      </c>
      <c r="B190" s="99" t="inlineStr">
        <is>
          <t>OUT004</t>
        </is>
      </c>
      <c r="C190" s="99">
        <f>INDEX(Lookup!$B$2:$B$11,MATCH(B190,Lookup!$A$2:$A$11,0))</f>
        <v/>
      </c>
      <c r="D190" s="99" t="inlineStr">
        <is>
          <t>BP039</t>
        </is>
      </c>
      <c r="E190" s="99">
        <f>INDEX(Lookup!$E$2:$E$51,MATCH(D190,Lookup!$D$2:$D$51,0))</f>
        <v/>
      </c>
      <c r="F190" s="99">
        <f>INDEX(Lookup!$F$2:$F$51,MATCH(D190,Lookup!$D$2:$D$51,0))</f>
        <v/>
      </c>
      <c r="G190" s="100" t="n">
        <v>128</v>
      </c>
      <c r="H190" s="100" t="n">
        <v>95</v>
      </c>
      <c r="I190" s="100" t="n">
        <v>99</v>
      </c>
      <c r="J190" s="100" t="n">
        <v>6</v>
      </c>
      <c r="K190" s="100" t="n">
        <v>40</v>
      </c>
      <c r="L190" s="100" t="n">
        <v>4</v>
      </c>
      <c r="M190" s="100" t="n">
        <v>118</v>
      </c>
      <c r="N190" s="99" t="inlineStr">
        <is>
          <t>Healthy</t>
        </is>
      </c>
      <c r="O190" s="100">
        <f>G190+H190</f>
        <v/>
      </c>
      <c r="P190" s="100">
        <f>G190+H190-I190-J190</f>
        <v/>
      </c>
      <c r="Q190" s="100">
        <f>MAX(0,P190)</f>
        <v/>
      </c>
      <c r="R190" s="100">
        <f>MAX(0,-P190)</f>
        <v/>
      </c>
      <c r="S190" s="101">
        <f>IFERROR(J190/O190,0)</f>
        <v/>
      </c>
      <c r="T190" s="101">
        <f>IFERROR(I190/O190,0)</f>
        <v/>
      </c>
      <c r="U190" s="102">
        <f>IF(P190&lt;=K190,"Reorder Required","Stock Sufficient")</f>
        <v/>
      </c>
      <c r="V190" s="102">
        <f>IF(AND(Q190=M190,(U190="Reorder Required")=(N190="Reorder Required")),"OK","Mismatch")</f>
        <v/>
      </c>
      <c r="W190" s="99" t="n"/>
    </row>
    <row r="191">
      <c r="A191" s="99" t="inlineStr">
        <is>
          <t>INV00190</t>
        </is>
      </c>
      <c r="B191" s="99" t="inlineStr">
        <is>
          <t>OUT004</t>
        </is>
      </c>
      <c r="C191" s="99">
        <f>INDEX(Lookup!$B$2:$B$11,MATCH(B191,Lookup!$A$2:$A$11,0))</f>
        <v/>
      </c>
      <c r="D191" s="99" t="inlineStr">
        <is>
          <t>BP040</t>
        </is>
      </c>
      <c r="E191" s="99">
        <f>INDEX(Lookup!$E$2:$E$51,MATCH(D191,Lookup!$D$2:$D$51,0))</f>
        <v/>
      </c>
      <c r="F191" s="99">
        <f>INDEX(Lookup!$F$2:$F$51,MATCH(D191,Lookup!$D$2:$D$51,0))</f>
        <v/>
      </c>
      <c r="G191" s="100" t="n">
        <v>92</v>
      </c>
      <c r="H191" s="100" t="n">
        <v>85</v>
      </c>
      <c r="I191" s="100" t="n">
        <v>77</v>
      </c>
      <c r="J191" s="100" t="n">
        <v>3</v>
      </c>
      <c r="K191" s="100" t="n">
        <v>19</v>
      </c>
      <c r="L191" s="100" t="n">
        <v>4</v>
      </c>
      <c r="M191" s="100" t="n">
        <v>97</v>
      </c>
      <c r="N191" s="99" t="inlineStr">
        <is>
          <t>Healthy</t>
        </is>
      </c>
      <c r="O191" s="100">
        <f>G191+H191</f>
        <v/>
      </c>
      <c r="P191" s="100">
        <f>G191+H191-I191-J191</f>
        <v/>
      </c>
      <c r="Q191" s="100">
        <f>MAX(0,P191)</f>
        <v/>
      </c>
      <c r="R191" s="100">
        <f>MAX(0,-P191)</f>
        <v/>
      </c>
      <c r="S191" s="101">
        <f>IFERROR(J191/O191,0)</f>
        <v/>
      </c>
      <c r="T191" s="101">
        <f>IFERROR(I191/O191,0)</f>
        <v/>
      </c>
      <c r="U191" s="102">
        <f>IF(P191&lt;=K191,"Reorder Required","Stock Sufficient")</f>
        <v/>
      </c>
      <c r="V191" s="102">
        <f>IF(AND(Q191=M191,(U191="Reorder Required")=(N191="Reorder Required")),"OK","Mismatch")</f>
        <v/>
      </c>
      <c r="W191" s="99" t="n"/>
    </row>
    <row r="192">
      <c r="A192" s="99" t="inlineStr">
        <is>
          <t>INV00191</t>
        </is>
      </c>
      <c r="B192" s="99" t="inlineStr">
        <is>
          <t>OUT004</t>
        </is>
      </c>
      <c r="C192" s="99">
        <f>INDEX(Lookup!$B$2:$B$11,MATCH(B192,Lookup!$A$2:$A$11,0))</f>
        <v/>
      </c>
      <c r="D192" s="99" t="inlineStr">
        <is>
          <t>BP041</t>
        </is>
      </c>
      <c r="E192" s="99">
        <f>INDEX(Lookup!$E$2:$E$51,MATCH(D192,Lookup!$D$2:$D$51,0))</f>
        <v/>
      </c>
      <c r="F192" s="99">
        <f>INDEX(Lookup!$F$2:$F$51,MATCH(D192,Lookup!$D$2:$D$51,0))</f>
        <v/>
      </c>
      <c r="G192" s="100" t="n">
        <v>65</v>
      </c>
      <c r="H192" s="100" t="n">
        <v>36</v>
      </c>
      <c r="I192" s="100" t="n">
        <v>123</v>
      </c>
      <c r="J192" s="100" t="n">
        <v>3</v>
      </c>
      <c r="K192" s="100" t="n">
        <v>36</v>
      </c>
      <c r="L192" s="100" t="n">
        <v>1</v>
      </c>
      <c r="M192" s="100" t="n">
        <v>0</v>
      </c>
      <c r="N192" s="99" t="inlineStr">
        <is>
          <t>Reorder Required</t>
        </is>
      </c>
      <c r="O192" s="100">
        <f>G192+H192</f>
        <v/>
      </c>
      <c r="P192" s="100">
        <f>G192+H192-I192-J192</f>
        <v/>
      </c>
      <c r="Q192" s="100">
        <f>MAX(0,P192)</f>
        <v/>
      </c>
      <c r="R192" s="100">
        <f>MAX(0,-P192)</f>
        <v/>
      </c>
      <c r="S192" s="101">
        <f>IFERROR(J192/O192,0)</f>
        <v/>
      </c>
      <c r="T192" s="101">
        <f>IFERROR(I192/O192,0)</f>
        <v/>
      </c>
      <c r="U192" s="102">
        <f>IF(P192&lt;=K192,"Reorder Required","Stock Sufficient")</f>
        <v/>
      </c>
      <c r="V192" s="102">
        <f>IF(AND(Q192=M192,(U192="Reorder Required")=(N192="Reorder Required")),"OK","Mismatch")</f>
        <v/>
      </c>
      <c r="W192" s="99" t="inlineStr">
        <is>
          <t>Restock immediately</t>
        </is>
      </c>
    </row>
    <row r="193">
      <c r="A193" s="99" t="inlineStr">
        <is>
          <t>INV00192</t>
        </is>
      </c>
      <c r="B193" s="99" t="inlineStr">
        <is>
          <t>OUT004</t>
        </is>
      </c>
      <c r="C193" s="99">
        <f>INDEX(Lookup!$B$2:$B$11,MATCH(B193,Lookup!$A$2:$A$11,0))</f>
        <v/>
      </c>
      <c r="D193" s="99" t="inlineStr">
        <is>
          <t>BP042</t>
        </is>
      </c>
      <c r="E193" s="99">
        <f>INDEX(Lookup!$E$2:$E$51,MATCH(D193,Lookup!$D$2:$D$51,0))</f>
        <v/>
      </c>
      <c r="F193" s="99">
        <f>INDEX(Lookup!$F$2:$F$51,MATCH(D193,Lookup!$D$2:$D$51,0))</f>
        <v/>
      </c>
      <c r="G193" s="100" t="n">
        <v>52</v>
      </c>
      <c r="H193" s="100" t="n">
        <v>29</v>
      </c>
      <c r="I193" s="100" t="n">
        <v>110</v>
      </c>
      <c r="J193" s="100" t="n">
        <v>0</v>
      </c>
      <c r="K193" s="100" t="n">
        <v>22</v>
      </c>
      <c r="L193" s="100" t="n">
        <v>4</v>
      </c>
      <c r="M193" s="100" t="n">
        <v>0</v>
      </c>
      <c r="N193" s="99" t="inlineStr">
        <is>
          <t>Reorder Required</t>
        </is>
      </c>
      <c r="O193" s="100">
        <f>G193+H193</f>
        <v/>
      </c>
      <c r="P193" s="100">
        <f>G193+H193-I193-J193</f>
        <v/>
      </c>
      <c r="Q193" s="100">
        <f>MAX(0,P193)</f>
        <v/>
      </c>
      <c r="R193" s="100">
        <f>MAX(0,-P193)</f>
        <v/>
      </c>
      <c r="S193" s="101">
        <f>IFERROR(J193/O193,0)</f>
        <v/>
      </c>
      <c r="T193" s="101">
        <f>IFERROR(I193/O193,0)</f>
        <v/>
      </c>
      <c r="U193" s="102">
        <f>IF(P193&lt;=K193,"Reorder Required","Stock Sufficient")</f>
        <v/>
      </c>
      <c r="V193" s="102">
        <f>IF(AND(Q193=M193,(U193="Reorder Required")=(N193="Reorder Required")),"OK","Mismatch")</f>
        <v/>
      </c>
      <c r="W193" s="99" t="inlineStr">
        <is>
          <t>Restock immediately</t>
        </is>
      </c>
    </row>
    <row r="194">
      <c r="A194" s="99" t="inlineStr">
        <is>
          <t>INV00193</t>
        </is>
      </c>
      <c r="B194" s="99" t="inlineStr">
        <is>
          <t>OUT004</t>
        </is>
      </c>
      <c r="C194" s="99">
        <f>INDEX(Lookup!$B$2:$B$11,MATCH(B194,Lookup!$A$2:$A$11,0))</f>
        <v/>
      </c>
      <c r="D194" s="99" t="inlineStr">
        <is>
          <t>BP043</t>
        </is>
      </c>
      <c r="E194" s="99">
        <f>INDEX(Lookup!$E$2:$E$51,MATCH(D194,Lookup!$D$2:$D$51,0))</f>
        <v/>
      </c>
      <c r="F194" s="99">
        <f>INDEX(Lookup!$F$2:$F$51,MATCH(D194,Lookup!$D$2:$D$51,0))</f>
        <v/>
      </c>
      <c r="G194" s="100" t="n">
        <v>61</v>
      </c>
      <c r="H194" s="100" t="n">
        <v>37</v>
      </c>
      <c r="I194" s="100" t="n">
        <v>122</v>
      </c>
      <c r="J194" s="100" t="n">
        <v>2</v>
      </c>
      <c r="K194" s="100" t="n">
        <v>29</v>
      </c>
      <c r="L194" s="100" t="n">
        <v>3</v>
      </c>
      <c r="M194" s="100" t="n">
        <v>0</v>
      </c>
      <c r="N194" s="99" t="inlineStr">
        <is>
          <t>Reorder Required</t>
        </is>
      </c>
      <c r="O194" s="100">
        <f>G194+H194</f>
        <v/>
      </c>
      <c r="P194" s="100">
        <f>G194+H194-I194-J194</f>
        <v/>
      </c>
      <c r="Q194" s="100">
        <f>MAX(0,P194)</f>
        <v/>
      </c>
      <c r="R194" s="100">
        <f>MAX(0,-P194)</f>
        <v/>
      </c>
      <c r="S194" s="101">
        <f>IFERROR(J194/O194,0)</f>
        <v/>
      </c>
      <c r="T194" s="101">
        <f>IFERROR(I194/O194,0)</f>
        <v/>
      </c>
      <c r="U194" s="102">
        <f>IF(P194&lt;=K194,"Reorder Required","Stock Sufficient")</f>
        <v/>
      </c>
      <c r="V194" s="102">
        <f>IF(AND(Q194=M194,(U194="Reorder Required")=(N194="Reorder Required")),"OK","Mismatch")</f>
        <v/>
      </c>
      <c r="W194" s="99" t="inlineStr">
        <is>
          <t>Restock immediately</t>
        </is>
      </c>
    </row>
    <row r="195">
      <c r="A195" s="99" t="inlineStr">
        <is>
          <t>INV00194</t>
        </is>
      </c>
      <c r="B195" s="99" t="inlineStr">
        <is>
          <t>OUT004</t>
        </is>
      </c>
      <c r="C195" s="99">
        <f>INDEX(Lookup!$B$2:$B$11,MATCH(B195,Lookup!$A$2:$A$11,0))</f>
        <v/>
      </c>
      <c r="D195" s="99" t="inlineStr">
        <is>
          <t>BP044</t>
        </is>
      </c>
      <c r="E195" s="99">
        <f>INDEX(Lookup!$E$2:$E$51,MATCH(D195,Lookup!$D$2:$D$51,0))</f>
        <v/>
      </c>
      <c r="F195" s="99">
        <f>INDEX(Lookup!$F$2:$F$51,MATCH(D195,Lookup!$D$2:$D$51,0))</f>
        <v/>
      </c>
      <c r="G195" s="100" t="n">
        <v>52</v>
      </c>
      <c r="H195" s="100" t="n">
        <v>80</v>
      </c>
      <c r="I195" s="100" t="n">
        <v>122</v>
      </c>
      <c r="J195" s="100" t="n">
        <v>3</v>
      </c>
      <c r="K195" s="100" t="n">
        <v>31</v>
      </c>
      <c r="L195" s="100" t="n">
        <v>1</v>
      </c>
      <c r="M195" s="100" t="n">
        <v>7</v>
      </c>
      <c r="N195" s="99" t="inlineStr">
        <is>
          <t>Reorder Required</t>
        </is>
      </c>
      <c r="O195" s="100">
        <f>G195+H195</f>
        <v/>
      </c>
      <c r="P195" s="100">
        <f>G195+H195-I195-J195</f>
        <v/>
      </c>
      <c r="Q195" s="100">
        <f>MAX(0,P195)</f>
        <v/>
      </c>
      <c r="R195" s="100">
        <f>MAX(0,-P195)</f>
        <v/>
      </c>
      <c r="S195" s="101">
        <f>IFERROR(J195/O195,0)</f>
        <v/>
      </c>
      <c r="T195" s="101">
        <f>IFERROR(I195/O195,0)</f>
        <v/>
      </c>
      <c r="U195" s="102">
        <f>IF(P195&lt;=K195,"Reorder Required","Stock Sufficient")</f>
        <v/>
      </c>
      <c r="V195" s="102">
        <f>IF(AND(Q195=M195,(U195="Reorder Required")=(N195="Reorder Required")),"OK","Mismatch")</f>
        <v/>
      </c>
      <c r="W195" s="99" t="inlineStr">
        <is>
          <t>Restock immediately</t>
        </is>
      </c>
    </row>
    <row r="196">
      <c r="A196" s="99" t="inlineStr">
        <is>
          <t>INV00195</t>
        </is>
      </c>
      <c r="B196" s="99" t="inlineStr">
        <is>
          <t>OUT004</t>
        </is>
      </c>
      <c r="C196" s="99">
        <f>INDEX(Lookup!$B$2:$B$11,MATCH(B196,Lookup!$A$2:$A$11,0))</f>
        <v/>
      </c>
      <c r="D196" s="99" t="inlineStr">
        <is>
          <t>BP045</t>
        </is>
      </c>
      <c r="E196" s="99">
        <f>INDEX(Lookup!$E$2:$E$51,MATCH(D196,Lookup!$D$2:$D$51,0))</f>
        <v/>
      </c>
      <c r="F196" s="99">
        <f>INDEX(Lookup!$F$2:$F$51,MATCH(D196,Lookup!$D$2:$D$51,0))</f>
        <v/>
      </c>
      <c r="G196" s="100" t="n">
        <v>68</v>
      </c>
      <c r="H196" s="100" t="n">
        <v>56</v>
      </c>
      <c r="I196" s="100" t="n">
        <v>93</v>
      </c>
      <c r="J196" s="100" t="n">
        <v>1</v>
      </c>
      <c r="K196" s="100" t="n">
        <v>22</v>
      </c>
      <c r="L196" s="100" t="n">
        <v>1</v>
      </c>
      <c r="M196" s="100" t="n">
        <v>30</v>
      </c>
      <c r="N196" s="99" t="inlineStr">
        <is>
          <t>Healthy</t>
        </is>
      </c>
      <c r="O196" s="100">
        <f>G196+H196</f>
        <v/>
      </c>
      <c r="P196" s="100">
        <f>G196+H196-I196-J196</f>
        <v/>
      </c>
      <c r="Q196" s="100">
        <f>MAX(0,P196)</f>
        <v/>
      </c>
      <c r="R196" s="100">
        <f>MAX(0,-P196)</f>
        <v/>
      </c>
      <c r="S196" s="101">
        <f>IFERROR(J196/O196,0)</f>
        <v/>
      </c>
      <c r="T196" s="101">
        <f>IFERROR(I196/O196,0)</f>
        <v/>
      </c>
      <c r="U196" s="102">
        <f>IF(P196&lt;=K196,"Reorder Required","Stock Sufficient")</f>
        <v/>
      </c>
      <c r="V196" s="102">
        <f>IF(AND(Q196=M196,(U196="Reorder Required")=(N196="Reorder Required")),"OK","Mismatch")</f>
        <v/>
      </c>
      <c r="W196" s="99" t="n"/>
    </row>
    <row r="197">
      <c r="A197" s="99" t="inlineStr">
        <is>
          <t>INV00196</t>
        </is>
      </c>
      <c r="B197" s="99" t="inlineStr">
        <is>
          <t>OUT004</t>
        </is>
      </c>
      <c r="C197" s="99">
        <f>INDEX(Lookup!$B$2:$B$11,MATCH(B197,Lookup!$A$2:$A$11,0))</f>
        <v/>
      </c>
      <c r="D197" s="99" t="inlineStr">
        <is>
          <t>BP046</t>
        </is>
      </c>
      <c r="E197" s="99">
        <f>INDEX(Lookup!$E$2:$E$51,MATCH(D197,Lookup!$D$2:$D$51,0))</f>
        <v/>
      </c>
      <c r="F197" s="99">
        <f>INDEX(Lookup!$F$2:$F$51,MATCH(D197,Lookup!$D$2:$D$51,0))</f>
        <v/>
      </c>
      <c r="G197" s="100" t="n">
        <v>127</v>
      </c>
      <c r="H197" s="100" t="n">
        <v>98</v>
      </c>
      <c r="I197" s="100" t="n">
        <v>133</v>
      </c>
      <c r="J197" s="100" t="n">
        <v>2</v>
      </c>
      <c r="K197" s="100" t="n">
        <v>25</v>
      </c>
      <c r="L197" s="100" t="n">
        <v>2</v>
      </c>
      <c r="M197" s="100" t="n">
        <v>90</v>
      </c>
      <c r="N197" s="99" t="inlineStr">
        <is>
          <t>Healthy</t>
        </is>
      </c>
      <c r="O197" s="100">
        <f>G197+H197</f>
        <v/>
      </c>
      <c r="P197" s="100">
        <f>G197+H197-I197-J197</f>
        <v/>
      </c>
      <c r="Q197" s="100">
        <f>MAX(0,P197)</f>
        <v/>
      </c>
      <c r="R197" s="100">
        <f>MAX(0,-P197)</f>
        <v/>
      </c>
      <c r="S197" s="101">
        <f>IFERROR(J197/O197,0)</f>
        <v/>
      </c>
      <c r="T197" s="101">
        <f>IFERROR(I197/O197,0)</f>
        <v/>
      </c>
      <c r="U197" s="102">
        <f>IF(P197&lt;=K197,"Reorder Required","Stock Sufficient")</f>
        <v/>
      </c>
      <c r="V197" s="102">
        <f>IF(AND(Q197=M197,(U197="Reorder Required")=(N197="Reorder Required")),"OK","Mismatch")</f>
        <v/>
      </c>
      <c r="W197" s="99" t="n"/>
    </row>
    <row r="198">
      <c r="A198" s="99" t="inlineStr">
        <is>
          <t>INV00197</t>
        </is>
      </c>
      <c r="B198" s="99" t="inlineStr">
        <is>
          <t>OUT004</t>
        </is>
      </c>
      <c r="C198" s="99">
        <f>INDEX(Lookup!$B$2:$B$11,MATCH(B198,Lookup!$A$2:$A$11,0))</f>
        <v/>
      </c>
      <c r="D198" s="99" t="inlineStr">
        <is>
          <t>BP047</t>
        </is>
      </c>
      <c r="E198" s="99">
        <f>INDEX(Lookup!$E$2:$E$51,MATCH(D198,Lookup!$D$2:$D$51,0))</f>
        <v/>
      </c>
      <c r="F198" s="99">
        <f>INDEX(Lookup!$F$2:$F$51,MATCH(D198,Lookup!$D$2:$D$51,0))</f>
        <v/>
      </c>
      <c r="G198" s="100" t="n">
        <v>130</v>
      </c>
      <c r="H198" s="100" t="n">
        <v>52</v>
      </c>
      <c r="I198" s="100" t="n">
        <v>129</v>
      </c>
      <c r="J198" s="100" t="n">
        <v>0</v>
      </c>
      <c r="K198" s="100" t="n">
        <v>23</v>
      </c>
      <c r="L198" s="100" t="n">
        <v>4</v>
      </c>
      <c r="M198" s="100" t="n">
        <v>53</v>
      </c>
      <c r="N198" s="99" t="inlineStr">
        <is>
          <t>Healthy</t>
        </is>
      </c>
      <c r="O198" s="100">
        <f>G198+H198</f>
        <v/>
      </c>
      <c r="P198" s="100">
        <f>G198+H198-I198-J198</f>
        <v/>
      </c>
      <c r="Q198" s="100">
        <f>MAX(0,P198)</f>
        <v/>
      </c>
      <c r="R198" s="100">
        <f>MAX(0,-P198)</f>
        <v/>
      </c>
      <c r="S198" s="101">
        <f>IFERROR(J198/O198,0)</f>
        <v/>
      </c>
      <c r="T198" s="101">
        <f>IFERROR(I198/O198,0)</f>
        <v/>
      </c>
      <c r="U198" s="102">
        <f>IF(P198&lt;=K198,"Reorder Required","Stock Sufficient")</f>
        <v/>
      </c>
      <c r="V198" s="102">
        <f>IF(AND(Q198=M198,(U198="Reorder Required")=(N198="Reorder Required")),"OK","Mismatch")</f>
        <v/>
      </c>
      <c r="W198" s="99" t="n"/>
    </row>
    <row r="199">
      <c r="A199" s="99" t="inlineStr">
        <is>
          <t>INV00198</t>
        </is>
      </c>
      <c r="B199" s="99" t="inlineStr">
        <is>
          <t>OUT004</t>
        </is>
      </c>
      <c r="C199" s="99">
        <f>INDEX(Lookup!$B$2:$B$11,MATCH(B199,Lookup!$A$2:$A$11,0))</f>
        <v/>
      </c>
      <c r="D199" s="99" t="inlineStr">
        <is>
          <t>BP048</t>
        </is>
      </c>
      <c r="E199" s="99">
        <f>INDEX(Lookup!$E$2:$E$51,MATCH(D199,Lookup!$D$2:$D$51,0))</f>
        <v/>
      </c>
      <c r="F199" s="99">
        <f>INDEX(Lookup!$F$2:$F$51,MATCH(D199,Lookup!$D$2:$D$51,0))</f>
        <v/>
      </c>
      <c r="G199" s="100" t="n">
        <v>131</v>
      </c>
      <c r="H199" s="100" t="n">
        <v>35</v>
      </c>
      <c r="I199" s="100" t="n">
        <v>104</v>
      </c>
      <c r="J199" s="100" t="n">
        <v>3</v>
      </c>
      <c r="K199" s="100" t="n">
        <v>20</v>
      </c>
      <c r="L199" s="100" t="n">
        <v>4</v>
      </c>
      <c r="M199" s="100" t="n">
        <v>59</v>
      </c>
      <c r="N199" s="99" t="inlineStr">
        <is>
          <t>Healthy</t>
        </is>
      </c>
      <c r="O199" s="100">
        <f>G199+H199</f>
        <v/>
      </c>
      <c r="P199" s="100">
        <f>G199+H199-I199-J199</f>
        <v/>
      </c>
      <c r="Q199" s="100">
        <f>MAX(0,P199)</f>
        <v/>
      </c>
      <c r="R199" s="100">
        <f>MAX(0,-P199)</f>
        <v/>
      </c>
      <c r="S199" s="101">
        <f>IFERROR(J199/O199,0)</f>
        <v/>
      </c>
      <c r="T199" s="101">
        <f>IFERROR(I199/O199,0)</f>
        <v/>
      </c>
      <c r="U199" s="102">
        <f>IF(P199&lt;=K199,"Reorder Required","Stock Sufficient")</f>
        <v/>
      </c>
      <c r="V199" s="102">
        <f>IF(AND(Q199=M199,(U199="Reorder Required")=(N199="Reorder Required")),"OK","Mismatch")</f>
        <v/>
      </c>
      <c r="W199" s="99" t="n"/>
    </row>
    <row r="200">
      <c r="A200" s="99" t="inlineStr">
        <is>
          <t>INV00199</t>
        </is>
      </c>
      <c r="B200" s="99" t="inlineStr">
        <is>
          <t>OUT004</t>
        </is>
      </c>
      <c r="C200" s="99">
        <f>INDEX(Lookup!$B$2:$B$11,MATCH(B200,Lookup!$A$2:$A$11,0))</f>
        <v/>
      </c>
      <c r="D200" s="99" t="inlineStr">
        <is>
          <t>BP049</t>
        </is>
      </c>
      <c r="E200" s="99">
        <f>INDEX(Lookup!$E$2:$E$51,MATCH(D200,Lookup!$D$2:$D$51,0))</f>
        <v/>
      </c>
      <c r="F200" s="99">
        <f>INDEX(Lookup!$F$2:$F$51,MATCH(D200,Lookup!$D$2:$D$51,0))</f>
        <v/>
      </c>
      <c r="G200" s="100" t="n">
        <v>140</v>
      </c>
      <c r="H200" s="100" t="n">
        <v>42</v>
      </c>
      <c r="I200" s="100" t="n">
        <v>56</v>
      </c>
      <c r="J200" s="100" t="n">
        <v>0</v>
      </c>
      <c r="K200" s="100" t="n">
        <v>23</v>
      </c>
      <c r="L200" s="100" t="n">
        <v>5</v>
      </c>
      <c r="M200" s="100" t="n">
        <v>126</v>
      </c>
      <c r="N200" s="99" t="inlineStr">
        <is>
          <t>Healthy</t>
        </is>
      </c>
      <c r="O200" s="100">
        <f>G200+H200</f>
        <v/>
      </c>
      <c r="P200" s="100">
        <f>G200+H200-I200-J200</f>
        <v/>
      </c>
      <c r="Q200" s="100">
        <f>MAX(0,P200)</f>
        <v/>
      </c>
      <c r="R200" s="100">
        <f>MAX(0,-P200)</f>
        <v/>
      </c>
      <c r="S200" s="101">
        <f>IFERROR(J200/O200,0)</f>
        <v/>
      </c>
      <c r="T200" s="101">
        <f>IFERROR(I200/O200,0)</f>
        <v/>
      </c>
      <c r="U200" s="102">
        <f>IF(P200&lt;=K200,"Reorder Required","Stock Sufficient")</f>
        <v/>
      </c>
      <c r="V200" s="102">
        <f>IF(AND(Q200=M200,(U200="Reorder Required")=(N200="Reorder Required")),"OK","Mismatch")</f>
        <v/>
      </c>
      <c r="W200" s="99" t="n"/>
    </row>
    <row r="201">
      <c r="A201" s="99" t="inlineStr">
        <is>
          <t>INV00200</t>
        </is>
      </c>
      <c r="B201" s="99" t="inlineStr">
        <is>
          <t>OUT004</t>
        </is>
      </c>
      <c r="C201" s="99">
        <f>INDEX(Lookup!$B$2:$B$11,MATCH(B201,Lookup!$A$2:$A$11,0))</f>
        <v/>
      </c>
      <c r="D201" s="99" t="inlineStr">
        <is>
          <t>BP050</t>
        </is>
      </c>
      <c r="E201" s="99">
        <f>INDEX(Lookup!$E$2:$E$51,MATCH(D201,Lookup!$D$2:$D$51,0))</f>
        <v/>
      </c>
      <c r="F201" s="99">
        <f>INDEX(Lookup!$F$2:$F$51,MATCH(D201,Lookup!$D$2:$D$51,0))</f>
        <v/>
      </c>
      <c r="G201" s="100" t="n">
        <v>84</v>
      </c>
      <c r="H201" s="100" t="n">
        <v>29</v>
      </c>
      <c r="I201" s="100" t="n">
        <v>140</v>
      </c>
      <c r="J201" s="100" t="n">
        <v>1</v>
      </c>
      <c r="K201" s="100" t="n">
        <v>30</v>
      </c>
      <c r="L201" s="100" t="n">
        <v>5</v>
      </c>
      <c r="M201" s="100" t="n">
        <v>0</v>
      </c>
      <c r="N201" s="99" t="inlineStr">
        <is>
          <t>Reorder Required</t>
        </is>
      </c>
      <c r="O201" s="100">
        <f>G201+H201</f>
        <v/>
      </c>
      <c r="P201" s="100">
        <f>G201+H201-I201-J201</f>
        <v/>
      </c>
      <c r="Q201" s="100">
        <f>MAX(0,P201)</f>
        <v/>
      </c>
      <c r="R201" s="100">
        <f>MAX(0,-P201)</f>
        <v/>
      </c>
      <c r="S201" s="101">
        <f>IFERROR(J201/O201,0)</f>
        <v/>
      </c>
      <c r="T201" s="101">
        <f>IFERROR(I201/O201,0)</f>
        <v/>
      </c>
      <c r="U201" s="102">
        <f>IF(P201&lt;=K201,"Reorder Required","Stock Sufficient")</f>
        <v/>
      </c>
      <c r="V201" s="102">
        <f>IF(AND(Q201=M201,(U201="Reorder Required")=(N201="Reorder Required")),"OK","Mismatch")</f>
        <v/>
      </c>
      <c r="W201" s="99" t="inlineStr">
        <is>
          <t>Restock immediately</t>
        </is>
      </c>
    </row>
    <row r="202">
      <c r="A202" s="99" t="inlineStr">
        <is>
          <t>INV00201</t>
        </is>
      </c>
      <c r="B202" s="99" t="inlineStr">
        <is>
          <t>OUT005</t>
        </is>
      </c>
      <c r="C202" s="99">
        <f>INDEX(Lookup!$B$2:$B$11,MATCH(B202,Lookup!$A$2:$A$11,0))</f>
        <v/>
      </c>
      <c r="D202" s="99" t="inlineStr">
        <is>
          <t>BP001</t>
        </is>
      </c>
      <c r="E202" s="99">
        <f>INDEX(Lookup!$E$2:$E$51,MATCH(D202,Lookup!$D$2:$D$51,0))</f>
        <v/>
      </c>
      <c r="F202" s="99">
        <f>INDEX(Lookup!$F$2:$F$51,MATCH(D202,Lookup!$D$2:$D$51,0))</f>
        <v/>
      </c>
      <c r="G202" s="100" t="n">
        <v>58</v>
      </c>
      <c r="H202" s="100" t="n">
        <v>20</v>
      </c>
      <c r="I202" s="100" t="n">
        <v>140</v>
      </c>
      <c r="J202" s="100" t="n">
        <v>1</v>
      </c>
      <c r="K202" s="100" t="n">
        <v>30</v>
      </c>
      <c r="L202" s="100" t="n">
        <v>1</v>
      </c>
      <c r="M202" s="100" t="n">
        <v>0</v>
      </c>
      <c r="N202" s="99" t="inlineStr">
        <is>
          <t>Reorder Required</t>
        </is>
      </c>
      <c r="O202" s="100">
        <f>G202+H202</f>
        <v/>
      </c>
      <c r="P202" s="100">
        <f>G202+H202-I202-J202</f>
        <v/>
      </c>
      <c r="Q202" s="100">
        <f>MAX(0,P202)</f>
        <v/>
      </c>
      <c r="R202" s="100">
        <f>MAX(0,-P202)</f>
        <v/>
      </c>
      <c r="S202" s="101">
        <f>IFERROR(J202/O202,0)</f>
        <v/>
      </c>
      <c r="T202" s="101">
        <f>IFERROR(I202/O202,0)</f>
        <v/>
      </c>
      <c r="U202" s="102">
        <f>IF(P202&lt;=K202,"Reorder Required","Stock Sufficient")</f>
        <v/>
      </c>
      <c r="V202" s="102">
        <f>IF(AND(Q202=M202,(U202="Reorder Required")=(N202="Reorder Required")),"OK","Mismatch")</f>
        <v/>
      </c>
      <c r="W202" s="99" t="inlineStr">
        <is>
          <t>Restock immediately</t>
        </is>
      </c>
    </row>
    <row r="203">
      <c r="A203" s="99" t="inlineStr">
        <is>
          <t>INV00202</t>
        </is>
      </c>
      <c r="B203" s="99" t="inlineStr">
        <is>
          <t>OUT005</t>
        </is>
      </c>
      <c r="C203" s="99">
        <f>INDEX(Lookup!$B$2:$B$11,MATCH(B203,Lookup!$A$2:$A$11,0))</f>
        <v/>
      </c>
      <c r="D203" s="99" t="inlineStr">
        <is>
          <t>BP002</t>
        </is>
      </c>
      <c r="E203" s="99">
        <f>INDEX(Lookup!$E$2:$E$51,MATCH(D203,Lookup!$D$2:$D$51,0))</f>
        <v/>
      </c>
      <c r="F203" s="99">
        <f>INDEX(Lookup!$F$2:$F$51,MATCH(D203,Lookup!$D$2:$D$51,0))</f>
        <v/>
      </c>
      <c r="G203" s="100" t="n">
        <v>104</v>
      </c>
      <c r="H203" s="100" t="n">
        <v>57</v>
      </c>
      <c r="I203" s="100" t="n">
        <v>113</v>
      </c>
      <c r="J203" s="100" t="n">
        <v>2</v>
      </c>
      <c r="K203" s="100" t="n">
        <v>31</v>
      </c>
      <c r="L203" s="100" t="n">
        <v>3</v>
      </c>
      <c r="M203" s="100" t="n">
        <v>46</v>
      </c>
      <c r="N203" s="99" t="inlineStr">
        <is>
          <t>Healthy</t>
        </is>
      </c>
      <c r="O203" s="100">
        <f>G203+H203</f>
        <v/>
      </c>
      <c r="P203" s="100">
        <f>G203+H203-I203-J203</f>
        <v/>
      </c>
      <c r="Q203" s="100">
        <f>MAX(0,P203)</f>
        <v/>
      </c>
      <c r="R203" s="100">
        <f>MAX(0,-P203)</f>
        <v/>
      </c>
      <c r="S203" s="101">
        <f>IFERROR(J203/O203,0)</f>
        <v/>
      </c>
      <c r="T203" s="101">
        <f>IFERROR(I203/O203,0)</f>
        <v/>
      </c>
      <c r="U203" s="102">
        <f>IF(P203&lt;=K203,"Reorder Required","Stock Sufficient")</f>
        <v/>
      </c>
      <c r="V203" s="102">
        <f>IF(AND(Q203=M203,(U203="Reorder Required")=(N203="Reorder Required")),"OK","Mismatch")</f>
        <v/>
      </c>
      <c r="W203" s="99" t="n"/>
    </row>
    <row r="204">
      <c r="A204" s="99" t="inlineStr">
        <is>
          <t>INV00203</t>
        </is>
      </c>
      <c r="B204" s="99" t="inlineStr">
        <is>
          <t>OUT005</t>
        </is>
      </c>
      <c r="C204" s="99">
        <f>INDEX(Lookup!$B$2:$B$11,MATCH(B204,Lookup!$A$2:$A$11,0))</f>
        <v/>
      </c>
      <c r="D204" s="99" t="inlineStr">
        <is>
          <t>BP003</t>
        </is>
      </c>
      <c r="E204" s="99">
        <f>INDEX(Lookup!$E$2:$E$51,MATCH(D204,Lookup!$D$2:$D$51,0))</f>
        <v/>
      </c>
      <c r="F204" s="99">
        <f>INDEX(Lookup!$F$2:$F$51,MATCH(D204,Lookup!$D$2:$D$51,0))</f>
        <v/>
      </c>
      <c r="G204" s="100" t="n">
        <v>70</v>
      </c>
      <c r="H204" s="100" t="n">
        <v>57</v>
      </c>
      <c r="I204" s="100" t="n">
        <v>36</v>
      </c>
      <c r="J204" s="100" t="n">
        <v>1</v>
      </c>
      <c r="K204" s="100" t="n">
        <v>22</v>
      </c>
      <c r="L204" s="100" t="n">
        <v>1</v>
      </c>
      <c r="M204" s="100" t="n">
        <v>90</v>
      </c>
      <c r="N204" s="99" t="inlineStr">
        <is>
          <t>Healthy</t>
        </is>
      </c>
      <c r="O204" s="100">
        <f>G204+H204</f>
        <v/>
      </c>
      <c r="P204" s="100">
        <f>G204+H204-I204-J204</f>
        <v/>
      </c>
      <c r="Q204" s="100">
        <f>MAX(0,P204)</f>
        <v/>
      </c>
      <c r="R204" s="100">
        <f>MAX(0,-P204)</f>
        <v/>
      </c>
      <c r="S204" s="101">
        <f>IFERROR(J204/O204,0)</f>
        <v/>
      </c>
      <c r="T204" s="101">
        <f>IFERROR(I204/O204,0)</f>
        <v/>
      </c>
      <c r="U204" s="102">
        <f>IF(P204&lt;=K204,"Reorder Required","Stock Sufficient")</f>
        <v/>
      </c>
      <c r="V204" s="102">
        <f>IF(AND(Q204=M204,(U204="Reorder Required")=(N204="Reorder Required")),"OK","Mismatch")</f>
        <v/>
      </c>
      <c r="W204" s="99" t="n"/>
    </row>
    <row r="205">
      <c r="A205" s="99" t="inlineStr">
        <is>
          <t>INV00204</t>
        </is>
      </c>
      <c r="B205" s="99" t="inlineStr">
        <is>
          <t>OUT005</t>
        </is>
      </c>
      <c r="C205" s="99">
        <f>INDEX(Lookup!$B$2:$B$11,MATCH(B205,Lookup!$A$2:$A$11,0))</f>
        <v/>
      </c>
      <c r="D205" s="99" t="inlineStr">
        <is>
          <t>BP004</t>
        </is>
      </c>
      <c r="E205" s="99">
        <f>INDEX(Lookup!$E$2:$E$51,MATCH(D205,Lookup!$D$2:$D$51,0))</f>
        <v/>
      </c>
      <c r="F205" s="99">
        <f>INDEX(Lookup!$F$2:$F$51,MATCH(D205,Lookup!$D$2:$D$51,0))</f>
        <v/>
      </c>
      <c r="G205" s="100" t="n">
        <v>143</v>
      </c>
      <c r="H205" s="100" t="n">
        <v>35</v>
      </c>
      <c r="I205" s="100" t="n">
        <v>66</v>
      </c>
      <c r="J205" s="100" t="n">
        <v>0</v>
      </c>
      <c r="K205" s="100" t="n">
        <v>21</v>
      </c>
      <c r="L205" s="100" t="n">
        <v>1</v>
      </c>
      <c r="M205" s="100" t="n">
        <v>112</v>
      </c>
      <c r="N205" s="99" t="inlineStr">
        <is>
          <t>Healthy</t>
        </is>
      </c>
      <c r="O205" s="100">
        <f>G205+H205</f>
        <v/>
      </c>
      <c r="P205" s="100">
        <f>G205+H205-I205-J205</f>
        <v/>
      </c>
      <c r="Q205" s="100">
        <f>MAX(0,P205)</f>
        <v/>
      </c>
      <c r="R205" s="100">
        <f>MAX(0,-P205)</f>
        <v/>
      </c>
      <c r="S205" s="101">
        <f>IFERROR(J205/O205,0)</f>
        <v/>
      </c>
      <c r="T205" s="101">
        <f>IFERROR(I205/O205,0)</f>
        <v/>
      </c>
      <c r="U205" s="102">
        <f>IF(P205&lt;=K205,"Reorder Required","Stock Sufficient")</f>
        <v/>
      </c>
      <c r="V205" s="102">
        <f>IF(AND(Q205=M205,(U205="Reorder Required")=(N205="Reorder Required")),"OK","Mismatch")</f>
        <v/>
      </c>
      <c r="W205" s="99" t="n"/>
    </row>
    <row r="206">
      <c r="A206" s="99" t="inlineStr">
        <is>
          <t>INV00205</t>
        </is>
      </c>
      <c r="B206" s="99" t="inlineStr">
        <is>
          <t>OUT005</t>
        </is>
      </c>
      <c r="C206" s="99">
        <f>INDEX(Lookup!$B$2:$B$11,MATCH(B206,Lookup!$A$2:$A$11,0))</f>
        <v/>
      </c>
      <c r="D206" s="99" t="inlineStr">
        <is>
          <t>BP005</t>
        </is>
      </c>
      <c r="E206" s="99">
        <f>INDEX(Lookup!$E$2:$E$51,MATCH(D206,Lookup!$D$2:$D$51,0))</f>
        <v/>
      </c>
      <c r="F206" s="99">
        <f>INDEX(Lookup!$F$2:$F$51,MATCH(D206,Lookup!$D$2:$D$51,0))</f>
        <v/>
      </c>
      <c r="G206" s="100" t="n">
        <v>79</v>
      </c>
      <c r="H206" s="100" t="n">
        <v>82</v>
      </c>
      <c r="I206" s="100" t="n">
        <v>130</v>
      </c>
      <c r="J206" s="100" t="n">
        <v>0</v>
      </c>
      <c r="K206" s="100" t="n">
        <v>31</v>
      </c>
      <c r="L206" s="100" t="n">
        <v>1</v>
      </c>
      <c r="M206" s="100" t="n">
        <v>31</v>
      </c>
      <c r="N206" s="99" t="inlineStr">
        <is>
          <t>Reorder Required</t>
        </is>
      </c>
      <c r="O206" s="100">
        <f>G206+H206</f>
        <v/>
      </c>
      <c r="P206" s="100">
        <f>G206+H206-I206-J206</f>
        <v/>
      </c>
      <c r="Q206" s="100">
        <f>MAX(0,P206)</f>
        <v/>
      </c>
      <c r="R206" s="100">
        <f>MAX(0,-P206)</f>
        <v/>
      </c>
      <c r="S206" s="101">
        <f>IFERROR(J206/O206,0)</f>
        <v/>
      </c>
      <c r="T206" s="101">
        <f>IFERROR(I206/O206,0)</f>
        <v/>
      </c>
      <c r="U206" s="102">
        <f>IF(P206&lt;=K206,"Reorder Required","Stock Sufficient")</f>
        <v/>
      </c>
      <c r="V206" s="102">
        <f>IF(AND(Q206=M206,(U206="Reorder Required")=(N206="Reorder Required")),"OK","Mismatch")</f>
        <v/>
      </c>
      <c r="W206" s="99" t="inlineStr">
        <is>
          <t>Restock immediately</t>
        </is>
      </c>
    </row>
    <row r="207">
      <c r="A207" s="99" t="inlineStr">
        <is>
          <t>INV00206</t>
        </is>
      </c>
      <c r="B207" s="99" t="inlineStr">
        <is>
          <t>OUT005</t>
        </is>
      </c>
      <c r="C207" s="99">
        <f>INDEX(Lookup!$B$2:$B$11,MATCH(B207,Lookup!$A$2:$A$11,0))</f>
        <v/>
      </c>
      <c r="D207" s="99" t="inlineStr">
        <is>
          <t>BP006</t>
        </is>
      </c>
      <c r="E207" s="99">
        <f>INDEX(Lookup!$E$2:$E$51,MATCH(D207,Lookup!$D$2:$D$51,0))</f>
        <v/>
      </c>
      <c r="F207" s="99">
        <f>INDEX(Lookup!$F$2:$F$51,MATCH(D207,Lookup!$D$2:$D$51,0))</f>
        <v/>
      </c>
      <c r="G207" s="100" t="n">
        <v>133</v>
      </c>
      <c r="H207" s="100" t="n">
        <v>78</v>
      </c>
      <c r="I207" s="100" t="n">
        <v>112</v>
      </c>
      <c r="J207" s="100" t="n">
        <v>2</v>
      </c>
      <c r="K207" s="100" t="n">
        <v>24</v>
      </c>
      <c r="L207" s="100" t="n">
        <v>1</v>
      </c>
      <c r="M207" s="100" t="n">
        <v>97</v>
      </c>
      <c r="N207" s="99" t="inlineStr">
        <is>
          <t>Healthy</t>
        </is>
      </c>
      <c r="O207" s="100">
        <f>G207+H207</f>
        <v/>
      </c>
      <c r="P207" s="100">
        <f>G207+H207-I207-J207</f>
        <v/>
      </c>
      <c r="Q207" s="100">
        <f>MAX(0,P207)</f>
        <v/>
      </c>
      <c r="R207" s="100">
        <f>MAX(0,-P207)</f>
        <v/>
      </c>
      <c r="S207" s="101">
        <f>IFERROR(J207/O207,0)</f>
        <v/>
      </c>
      <c r="T207" s="101">
        <f>IFERROR(I207/O207,0)</f>
        <v/>
      </c>
      <c r="U207" s="102">
        <f>IF(P207&lt;=K207,"Reorder Required","Stock Sufficient")</f>
        <v/>
      </c>
      <c r="V207" s="102">
        <f>IF(AND(Q207=M207,(U207="Reorder Required")=(N207="Reorder Required")),"OK","Mismatch")</f>
        <v/>
      </c>
      <c r="W207" s="99" t="n"/>
    </row>
    <row r="208">
      <c r="A208" s="99" t="inlineStr">
        <is>
          <t>INV00207</t>
        </is>
      </c>
      <c r="B208" s="99" t="inlineStr">
        <is>
          <t>OUT005</t>
        </is>
      </c>
      <c r="C208" s="99">
        <f>INDEX(Lookup!$B$2:$B$11,MATCH(B208,Lookup!$A$2:$A$11,0))</f>
        <v/>
      </c>
      <c r="D208" s="99" t="inlineStr">
        <is>
          <t>BP007</t>
        </is>
      </c>
      <c r="E208" s="99">
        <f>INDEX(Lookup!$E$2:$E$51,MATCH(D208,Lookup!$D$2:$D$51,0))</f>
        <v/>
      </c>
      <c r="F208" s="99">
        <f>INDEX(Lookup!$F$2:$F$51,MATCH(D208,Lookup!$D$2:$D$51,0))</f>
        <v/>
      </c>
      <c r="G208" s="100" t="n">
        <v>116</v>
      </c>
      <c r="H208" s="100" t="n">
        <v>48</v>
      </c>
      <c r="I208" s="100" t="n">
        <v>118</v>
      </c>
      <c r="J208" s="100" t="n">
        <v>2</v>
      </c>
      <c r="K208" s="100" t="n">
        <v>31</v>
      </c>
      <c r="L208" s="100" t="n">
        <v>2</v>
      </c>
      <c r="M208" s="100" t="n">
        <v>44</v>
      </c>
      <c r="N208" s="99" t="inlineStr">
        <is>
          <t>Healthy</t>
        </is>
      </c>
      <c r="O208" s="100">
        <f>G208+H208</f>
        <v/>
      </c>
      <c r="P208" s="100">
        <f>G208+H208-I208-J208</f>
        <v/>
      </c>
      <c r="Q208" s="100">
        <f>MAX(0,P208)</f>
        <v/>
      </c>
      <c r="R208" s="100">
        <f>MAX(0,-P208)</f>
        <v/>
      </c>
      <c r="S208" s="101">
        <f>IFERROR(J208/O208,0)</f>
        <v/>
      </c>
      <c r="T208" s="101">
        <f>IFERROR(I208/O208,0)</f>
        <v/>
      </c>
      <c r="U208" s="102">
        <f>IF(P208&lt;=K208,"Reorder Required","Stock Sufficient")</f>
        <v/>
      </c>
      <c r="V208" s="102">
        <f>IF(AND(Q208=M208,(U208="Reorder Required")=(N208="Reorder Required")),"OK","Mismatch")</f>
        <v/>
      </c>
      <c r="W208" s="99" t="n"/>
    </row>
    <row r="209">
      <c r="A209" s="99" t="inlineStr">
        <is>
          <t>INV00208</t>
        </is>
      </c>
      <c r="B209" s="99" t="inlineStr">
        <is>
          <t>OUT005</t>
        </is>
      </c>
      <c r="C209" s="99">
        <f>INDEX(Lookup!$B$2:$B$11,MATCH(B209,Lookup!$A$2:$A$11,0))</f>
        <v/>
      </c>
      <c r="D209" s="99" t="inlineStr">
        <is>
          <t>BP008</t>
        </is>
      </c>
      <c r="E209" s="99">
        <f>INDEX(Lookup!$E$2:$E$51,MATCH(D209,Lookup!$D$2:$D$51,0))</f>
        <v/>
      </c>
      <c r="F209" s="99">
        <f>INDEX(Lookup!$F$2:$F$51,MATCH(D209,Lookup!$D$2:$D$51,0))</f>
        <v/>
      </c>
      <c r="G209" s="100" t="n">
        <v>134</v>
      </c>
      <c r="H209" s="100" t="n">
        <v>29</v>
      </c>
      <c r="I209" s="100" t="n">
        <v>91</v>
      </c>
      <c r="J209" s="100" t="n">
        <v>2</v>
      </c>
      <c r="K209" s="100" t="n">
        <v>33</v>
      </c>
      <c r="L209" s="100" t="n">
        <v>4</v>
      </c>
      <c r="M209" s="100" t="n">
        <v>70</v>
      </c>
      <c r="N209" s="99" t="inlineStr">
        <is>
          <t>Healthy</t>
        </is>
      </c>
      <c r="O209" s="100">
        <f>G209+H209</f>
        <v/>
      </c>
      <c r="P209" s="100">
        <f>G209+H209-I209-J209</f>
        <v/>
      </c>
      <c r="Q209" s="100">
        <f>MAX(0,P209)</f>
        <v/>
      </c>
      <c r="R209" s="100">
        <f>MAX(0,-P209)</f>
        <v/>
      </c>
      <c r="S209" s="101">
        <f>IFERROR(J209/O209,0)</f>
        <v/>
      </c>
      <c r="T209" s="101">
        <f>IFERROR(I209/O209,0)</f>
        <v/>
      </c>
      <c r="U209" s="102">
        <f>IF(P209&lt;=K209,"Reorder Required","Stock Sufficient")</f>
        <v/>
      </c>
      <c r="V209" s="102">
        <f>IF(AND(Q209=M209,(U209="Reorder Required")=(N209="Reorder Required")),"OK","Mismatch")</f>
        <v/>
      </c>
      <c r="W209" s="99" t="n"/>
    </row>
    <row r="210">
      <c r="A210" s="99" t="inlineStr">
        <is>
          <t>INV00209</t>
        </is>
      </c>
      <c r="B210" s="99" t="inlineStr">
        <is>
          <t>OUT005</t>
        </is>
      </c>
      <c r="C210" s="99">
        <f>INDEX(Lookup!$B$2:$B$11,MATCH(B210,Lookup!$A$2:$A$11,0))</f>
        <v/>
      </c>
      <c r="D210" s="99" t="inlineStr">
        <is>
          <t>BP009</t>
        </is>
      </c>
      <c r="E210" s="99">
        <f>INDEX(Lookup!$E$2:$E$51,MATCH(D210,Lookup!$D$2:$D$51,0))</f>
        <v/>
      </c>
      <c r="F210" s="99">
        <f>INDEX(Lookup!$F$2:$F$51,MATCH(D210,Lookup!$D$2:$D$51,0))</f>
        <v/>
      </c>
      <c r="G210" s="100" t="n">
        <v>60</v>
      </c>
      <c r="H210" s="100" t="n">
        <v>76</v>
      </c>
      <c r="I210" s="100" t="n">
        <v>130</v>
      </c>
      <c r="J210" s="100" t="n">
        <v>1</v>
      </c>
      <c r="K210" s="100" t="n">
        <v>26</v>
      </c>
      <c r="L210" s="100" t="n">
        <v>1</v>
      </c>
      <c r="M210" s="100" t="n">
        <v>5</v>
      </c>
      <c r="N210" s="99" t="inlineStr">
        <is>
          <t>Reorder Required</t>
        </is>
      </c>
      <c r="O210" s="100">
        <f>G210+H210</f>
        <v/>
      </c>
      <c r="P210" s="100">
        <f>G210+H210-I210-J210</f>
        <v/>
      </c>
      <c r="Q210" s="100">
        <f>MAX(0,P210)</f>
        <v/>
      </c>
      <c r="R210" s="100">
        <f>MAX(0,-P210)</f>
        <v/>
      </c>
      <c r="S210" s="101">
        <f>IFERROR(J210/O210,0)</f>
        <v/>
      </c>
      <c r="T210" s="101">
        <f>IFERROR(I210/O210,0)</f>
        <v/>
      </c>
      <c r="U210" s="102">
        <f>IF(P210&lt;=K210,"Reorder Required","Stock Sufficient")</f>
        <v/>
      </c>
      <c r="V210" s="102">
        <f>IF(AND(Q210=M210,(U210="Reorder Required")=(N210="Reorder Required")),"OK","Mismatch")</f>
        <v/>
      </c>
      <c r="W210" s="99" t="inlineStr">
        <is>
          <t>Restock immediately</t>
        </is>
      </c>
    </row>
    <row r="211">
      <c r="A211" s="99" t="inlineStr">
        <is>
          <t>INV00210</t>
        </is>
      </c>
      <c r="B211" s="99" t="inlineStr">
        <is>
          <t>OUT005</t>
        </is>
      </c>
      <c r="C211" s="99">
        <f>INDEX(Lookup!$B$2:$B$11,MATCH(B211,Lookup!$A$2:$A$11,0))</f>
        <v/>
      </c>
      <c r="D211" s="99" t="inlineStr">
        <is>
          <t>BP010</t>
        </is>
      </c>
      <c r="E211" s="99">
        <f>INDEX(Lookup!$E$2:$E$51,MATCH(D211,Lookup!$D$2:$D$51,0))</f>
        <v/>
      </c>
      <c r="F211" s="99">
        <f>INDEX(Lookup!$F$2:$F$51,MATCH(D211,Lookup!$D$2:$D$51,0))</f>
        <v/>
      </c>
      <c r="G211" s="100" t="n">
        <v>75</v>
      </c>
      <c r="H211" s="100" t="n">
        <v>79</v>
      </c>
      <c r="I211" s="100" t="n">
        <v>72</v>
      </c>
      <c r="J211" s="100" t="n">
        <v>0</v>
      </c>
      <c r="K211" s="100" t="n">
        <v>27</v>
      </c>
      <c r="L211" s="100" t="n">
        <v>2</v>
      </c>
      <c r="M211" s="100" t="n">
        <v>82</v>
      </c>
      <c r="N211" s="99" t="inlineStr">
        <is>
          <t>Healthy</t>
        </is>
      </c>
      <c r="O211" s="100">
        <f>G211+H211</f>
        <v/>
      </c>
      <c r="P211" s="100">
        <f>G211+H211-I211-J211</f>
        <v/>
      </c>
      <c r="Q211" s="100">
        <f>MAX(0,P211)</f>
        <v/>
      </c>
      <c r="R211" s="100">
        <f>MAX(0,-P211)</f>
        <v/>
      </c>
      <c r="S211" s="101">
        <f>IFERROR(J211/O211,0)</f>
        <v/>
      </c>
      <c r="T211" s="101">
        <f>IFERROR(I211/O211,0)</f>
        <v/>
      </c>
      <c r="U211" s="102">
        <f>IF(P211&lt;=K211,"Reorder Required","Stock Sufficient")</f>
        <v/>
      </c>
      <c r="V211" s="102">
        <f>IF(AND(Q211=M211,(U211="Reorder Required")=(N211="Reorder Required")),"OK","Mismatch")</f>
        <v/>
      </c>
      <c r="W211" s="99" t="n"/>
    </row>
    <row r="212">
      <c r="A212" s="99" t="inlineStr">
        <is>
          <t>INV00211</t>
        </is>
      </c>
      <c r="B212" s="99" t="inlineStr">
        <is>
          <t>OUT005</t>
        </is>
      </c>
      <c r="C212" s="99">
        <f>INDEX(Lookup!$B$2:$B$11,MATCH(B212,Lookup!$A$2:$A$11,0))</f>
        <v/>
      </c>
      <c r="D212" s="99" t="inlineStr">
        <is>
          <t>BP011</t>
        </is>
      </c>
      <c r="E212" s="99">
        <f>INDEX(Lookup!$E$2:$E$51,MATCH(D212,Lookup!$D$2:$D$51,0))</f>
        <v/>
      </c>
      <c r="F212" s="99">
        <f>INDEX(Lookup!$F$2:$F$51,MATCH(D212,Lookup!$D$2:$D$51,0))</f>
        <v/>
      </c>
      <c r="G212" s="100" t="n">
        <v>91</v>
      </c>
      <c r="H212" s="100" t="n">
        <v>60</v>
      </c>
      <c r="I212" s="100" t="n">
        <v>91</v>
      </c>
      <c r="J212" s="100" t="n">
        <v>3</v>
      </c>
      <c r="K212" s="100" t="n">
        <v>35</v>
      </c>
      <c r="L212" s="100" t="n">
        <v>4</v>
      </c>
      <c r="M212" s="100" t="n">
        <v>57</v>
      </c>
      <c r="N212" s="99" t="inlineStr">
        <is>
          <t>Healthy</t>
        </is>
      </c>
      <c r="O212" s="100">
        <f>G212+H212</f>
        <v/>
      </c>
      <c r="P212" s="100">
        <f>G212+H212-I212-J212</f>
        <v/>
      </c>
      <c r="Q212" s="100">
        <f>MAX(0,P212)</f>
        <v/>
      </c>
      <c r="R212" s="100">
        <f>MAX(0,-P212)</f>
        <v/>
      </c>
      <c r="S212" s="101">
        <f>IFERROR(J212/O212,0)</f>
        <v/>
      </c>
      <c r="T212" s="101">
        <f>IFERROR(I212/O212,0)</f>
        <v/>
      </c>
      <c r="U212" s="102">
        <f>IF(P212&lt;=K212,"Reorder Required","Stock Sufficient")</f>
        <v/>
      </c>
      <c r="V212" s="102">
        <f>IF(AND(Q212=M212,(U212="Reorder Required")=(N212="Reorder Required")),"OK","Mismatch")</f>
        <v/>
      </c>
      <c r="W212" s="99" t="n"/>
    </row>
    <row r="213">
      <c r="A213" s="99" t="inlineStr">
        <is>
          <t>INV00212</t>
        </is>
      </c>
      <c r="B213" s="99" t="inlineStr">
        <is>
          <t>OUT005</t>
        </is>
      </c>
      <c r="C213" s="99">
        <f>INDEX(Lookup!$B$2:$B$11,MATCH(B213,Lookup!$A$2:$A$11,0))</f>
        <v/>
      </c>
      <c r="D213" s="99" t="inlineStr">
        <is>
          <t>BP012</t>
        </is>
      </c>
      <c r="E213" s="99">
        <f>INDEX(Lookup!$E$2:$E$51,MATCH(D213,Lookup!$D$2:$D$51,0))</f>
        <v/>
      </c>
      <c r="F213" s="99">
        <f>INDEX(Lookup!$F$2:$F$51,MATCH(D213,Lookup!$D$2:$D$51,0))</f>
        <v/>
      </c>
      <c r="G213" s="100" t="n">
        <v>69</v>
      </c>
      <c r="H213" s="100" t="n">
        <v>64</v>
      </c>
      <c r="I213" s="100" t="n">
        <v>65</v>
      </c>
      <c r="J213" s="100" t="n">
        <v>3</v>
      </c>
      <c r="K213" s="100" t="n">
        <v>22</v>
      </c>
      <c r="L213" s="100" t="n">
        <v>3</v>
      </c>
      <c r="M213" s="100" t="n">
        <v>65</v>
      </c>
      <c r="N213" s="99" t="inlineStr">
        <is>
          <t>Healthy</t>
        </is>
      </c>
      <c r="O213" s="100">
        <f>G213+H213</f>
        <v/>
      </c>
      <c r="P213" s="100">
        <f>G213+H213-I213-J213</f>
        <v/>
      </c>
      <c r="Q213" s="100">
        <f>MAX(0,P213)</f>
        <v/>
      </c>
      <c r="R213" s="100">
        <f>MAX(0,-P213)</f>
        <v/>
      </c>
      <c r="S213" s="101">
        <f>IFERROR(J213/O213,0)</f>
        <v/>
      </c>
      <c r="T213" s="101">
        <f>IFERROR(I213/O213,0)</f>
        <v/>
      </c>
      <c r="U213" s="102">
        <f>IF(P213&lt;=K213,"Reorder Required","Stock Sufficient")</f>
        <v/>
      </c>
      <c r="V213" s="102">
        <f>IF(AND(Q213=M213,(U213="Reorder Required")=(N213="Reorder Required")),"OK","Mismatch")</f>
        <v/>
      </c>
      <c r="W213" s="99" t="n"/>
    </row>
    <row r="214">
      <c r="A214" s="99" t="inlineStr">
        <is>
          <t>INV00213</t>
        </is>
      </c>
      <c r="B214" s="99" t="inlineStr">
        <is>
          <t>OUT005</t>
        </is>
      </c>
      <c r="C214" s="99">
        <f>INDEX(Lookup!$B$2:$B$11,MATCH(B214,Lookup!$A$2:$A$11,0))</f>
        <v/>
      </c>
      <c r="D214" s="99" t="inlineStr">
        <is>
          <t>BP013</t>
        </is>
      </c>
      <c r="E214" s="99">
        <f>INDEX(Lookup!$E$2:$E$51,MATCH(D214,Lookup!$D$2:$D$51,0))</f>
        <v/>
      </c>
      <c r="F214" s="99">
        <f>INDEX(Lookup!$F$2:$F$51,MATCH(D214,Lookup!$D$2:$D$51,0))</f>
        <v/>
      </c>
      <c r="G214" s="100" t="n">
        <v>116</v>
      </c>
      <c r="H214" s="100" t="n">
        <v>43</v>
      </c>
      <c r="I214" s="100" t="n">
        <v>100</v>
      </c>
      <c r="J214" s="100" t="n">
        <v>2</v>
      </c>
      <c r="K214" s="100" t="n">
        <v>38</v>
      </c>
      <c r="L214" s="100" t="n">
        <v>1</v>
      </c>
      <c r="M214" s="100" t="n">
        <v>57</v>
      </c>
      <c r="N214" s="99" t="inlineStr">
        <is>
          <t>Healthy</t>
        </is>
      </c>
      <c r="O214" s="100">
        <f>G214+H214</f>
        <v/>
      </c>
      <c r="P214" s="100">
        <f>G214+H214-I214-J214</f>
        <v/>
      </c>
      <c r="Q214" s="100">
        <f>MAX(0,P214)</f>
        <v/>
      </c>
      <c r="R214" s="100">
        <f>MAX(0,-P214)</f>
        <v/>
      </c>
      <c r="S214" s="101">
        <f>IFERROR(J214/O214,0)</f>
        <v/>
      </c>
      <c r="T214" s="101">
        <f>IFERROR(I214/O214,0)</f>
        <v/>
      </c>
      <c r="U214" s="102">
        <f>IF(P214&lt;=K214,"Reorder Required","Stock Sufficient")</f>
        <v/>
      </c>
      <c r="V214" s="102">
        <f>IF(AND(Q214=M214,(U214="Reorder Required")=(N214="Reorder Required")),"OK","Mismatch")</f>
        <v/>
      </c>
      <c r="W214" s="99" t="n"/>
    </row>
    <row r="215">
      <c r="A215" s="99" t="inlineStr">
        <is>
          <t>INV00214</t>
        </is>
      </c>
      <c r="B215" s="99" t="inlineStr">
        <is>
          <t>OUT005</t>
        </is>
      </c>
      <c r="C215" s="99">
        <f>INDEX(Lookup!$B$2:$B$11,MATCH(B215,Lookup!$A$2:$A$11,0))</f>
        <v/>
      </c>
      <c r="D215" s="99" t="inlineStr">
        <is>
          <t>BP014</t>
        </is>
      </c>
      <c r="E215" s="99">
        <f>INDEX(Lookup!$E$2:$E$51,MATCH(D215,Lookup!$D$2:$D$51,0))</f>
        <v/>
      </c>
      <c r="F215" s="99">
        <f>INDEX(Lookup!$F$2:$F$51,MATCH(D215,Lookup!$D$2:$D$51,0))</f>
        <v/>
      </c>
      <c r="G215" s="100" t="n">
        <v>105</v>
      </c>
      <c r="H215" s="100" t="n">
        <v>31</v>
      </c>
      <c r="I215" s="100" t="n">
        <v>40</v>
      </c>
      <c r="J215" s="100" t="n">
        <v>0</v>
      </c>
      <c r="K215" s="100" t="n">
        <v>16</v>
      </c>
      <c r="L215" s="100" t="n">
        <v>1</v>
      </c>
      <c r="M215" s="100" t="n">
        <v>96</v>
      </c>
      <c r="N215" s="99" t="inlineStr">
        <is>
          <t>Healthy</t>
        </is>
      </c>
      <c r="O215" s="100">
        <f>G215+H215</f>
        <v/>
      </c>
      <c r="P215" s="100">
        <f>G215+H215-I215-J215</f>
        <v/>
      </c>
      <c r="Q215" s="100">
        <f>MAX(0,P215)</f>
        <v/>
      </c>
      <c r="R215" s="100">
        <f>MAX(0,-P215)</f>
        <v/>
      </c>
      <c r="S215" s="101">
        <f>IFERROR(J215/O215,0)</f>
        <v/>
      </c>
      <c r="T215" s="101">
        <f>IFERROR(I215/O215,0)</f>
        <v/>
      </c>
      <c r="U215" s="102">
        <f>IF(P215&lt;=K215,"Reorder Required","Stock Sufficient")</f>
        <v/>
      </c>
      <c r="V215" s="102">
        <f>IF(AND(Q215=M215,(U215="Reorder Required")=(N215="Reorder Required")),"OK","Mismatch")</f>
        <v/>
      </c>
      <c r="W215" s="99" t="n"/>
    </row>
    <row r="216">
      <c r="A216" s="99" t="inlineStr">
        <is>
          <t>INV00215</t>
        </is>
      </c>
      <c r="B216" s="99" t="inlineStr">
        <is>
          <t>OUT005</t>
        </is>
      </c>
      <c r="C216" s="99">
        <f>INDEX(Lookup!$B$2:$B$11,MATCH(B216,Lookup!$A$2:$A$11,0))</f>
        <v/>
      </c>
      <c r="D216" s="99" t="inlineStr">
        <is>
          <t>BP015</t>
        </is>
      </c>
      <c r="E216" s="99">
        <f>INDEX(Lookup!$E$2:$E$51,MATCH(D216,Lookup!$D$2:$D$51,0))</f>
        <v/>
      </c>
      <c r="F216" s="99">
        <f>INDEX(Lookup!$F$2:$F$51,MATCH(D216,Lookup!$D$2:$D$51,0))</f>
        <v/>
      </c>
      <c r="G216" s="100" t="n">
        <v>84</v>
      </c>
      <c r="H216" s="100" t="n">
        <v>87</v>
      </c>
      <c r="I216" s="100" t="n">
        <v>96</v>
      </c>
      <c r="J216" s="100" t="n">
        <v>3</v>
      </c>
      <c r="K216" s="100" t="n">
        <v>23</v>
      </c>
      <c r="L216" s="100" t="n">
        <v>4</v>
      </c>
      <c r="M216" s="100" t="n">
        <v>72</v>
      </c>
      <c r="N216" s="99" t="inlineStr">
        <is>
          <t>Healthy</t>
        </is>
      </c>
      <c r="O216" s="100">
        <f>G216+H216</f>
        <v/>
      </c>
      <c r="P216" s="100">
        <f>G216+H216-I216-J216</f>
        <v/>
      </c>
      <c r="Q216" s="100">
        <f>MAX(0,P216)</f>
        <v/>
      </c>
      <c r="R216" s="100">
        <f>MAX(0,-P216)</f>
        <v/>
      </c>
      <c r="S216" s="101">
        <f>IFERROR(J216/O216,0)</f>
        <v/>
      </c>
      <c r="T216" s="101">
        <f>IFERROR(I216/O216,0)</f>
        <v/>
      </c>
      <c r="U216" s="102">
        <f>IF(P216&lt;=K216,"Reorder Required","Stock Sufficient")</f>
        <v/>
      </c>
      <c r="V216" s="102">
        <f>IF(AND(Q216=M216,(U216="Reorder Required")=(N216="Reorder Required")),"OK","Mismatch")</f>
        <v/>
      </c>
      <c r="W216" s="99" t="n"/>
    </row>
    <row r="217">
      <c r="A217" s="99" t="inlineStr">
        <is>
          <t>INV00216</t>
        </is>
      </c>
      <c r="B217" s="99" t="inlineStr">
        <is>
          <t>OUT005</t>
        </is>
      </c>
      <c r="C217" s="99">
        <f>INDEX(Lookup!$B$2:$B$11,MATCH(B217,Lookup!$A$2:$A$11,0))</f>
        <v/>
      </c>
      <c r="D217" s="99" t="inlineStr">
        <is>
          <t>BP016</t>
        </is>
      </c>
      <c r="E217" s="99">
        <f>INDEX(Lookup!$E$2:$E$51,MATCH(D217,Lookup!$D$2:$D$51,0))</f>
        <v/>
      </c>
      <c r="F217" s="99">
        <f>INDEX(Lookup!$F$2:$F$51,MATCH(D217,Lookup!$D$2:$D$51,0))</f>
        <v/>
      </c>
      <c r="G217" s="100" t="n">
        <v>44</v>
      </c>
      <c r="H217" s="100" t="n">
        <v>83</v>
      </c>
      <c r="I217" s="100" t="n">
        <v>89</v>
      </c>
      <c r="J217" s="100" t="n">
        <v>2</v>
      </c>
      <c r="K217" s="100" t="n">
        <v>34</v>
      </c>
      <c r="L217" s="100" t="n">
        <v>1</v>
      </c>
      <c r="M217" s="100" t="n">
        <v>36</v>
      </c>
      <c r="N217" s="99" t="inlineStr">
        <is>
          <t>Healthy</t>
        </is>
      </c>
      <c r="O217" s="100">
        <f>G217+H217</f>
        <v/>
      </c>
      <c r="P217" s="100">
        <f>G217+H217-I217-J217</f>
        <v/>
      </c>
      <c r="Q217" s="100">
        <f>MAX(0,P217)</f>
        <v/>
      </c>
      <c r="R217" s="100">
        <f>MAX(0,-P217)</f>
        <v/>
      </c>
      <c r="S217" s="101">
        <f>IFERROR(J217/O217,0)</f>
        <v/>
      </c>
      <c r="T217" s="101">
        <f>IFERROR(I217/O217,0)</f>
        <v/>
      </c>
      <c r="U217" s="102">
        <f>IF(P217&lt;=K217,"Reorder Required","Stock Sufficient")</f>
        <v/>
      </c>
      <c r="V217" s="102">
        <f>IF(AND(Q217=M217,(U217="Reorder Required")=(N217="Reorder Required")),"OK","Mismatch")</f>
        <v/>
      </c>
      <c r="W217" s="99" t="n"/>
    </row>
    <row r="218">
      <c r="A218" s="99" t="inlineStr">
        <is>
          <t>INV00217</t>
        </is>
      </c>
      <c r="B218" s="99" t="inlineStr">
        <is>
          <t>OUT005</t>
        </is>
      </c>
      <c r="C218" s="99">
        <f>INDEX(Lookup!$B$2:$B$11,MATCH(B218,Lookup!$A$2:$A$11,0))</f>
        <v/>
      </c>
      <c r="D218" s="99" t="inlineStr">
        <is>
          <t>BP017</t>
        </is>
      </c>
      <c r="E218" s="99">
        <f>INDEX(Lookup!$E$2:$E$51,MATCH(D218,Lookup!$D$2:$D$51,0))</f>
        <v/>
      </c>
      <c r="F218" s="99">
        <f>INDEX(Lookup!$F$2:$F$51,MATCH(D218,Lookup!$D$2:$D$51,0))</f>
        <v/>
      </c>
      <c r="G218" s="100" t="n">
        <v>46</v>
      </c>
      <c r="H218" s="100" t="n">
        <v>72</v>
      </c>
      <c r="I218" s="100" t="n">
        <v>128</v>
      </c>
      <c r="J218" s="100" t="n">
        <v>0</v>
      </c>
      <c r="K218" s="100" t="n">
        <v>35</v>
      </c>
      <c r="L218" s="100" t="n">
        <v>4</v>
      </c>
      <c r="M218" s="100" t="n">
        <v>0</v>
      </c>
      <c r="N218" s="99" t="inlineStr">
        <is>
          <t>Reorder Required</t>
        </is>
      </c>
      <c r="O218" s="100">
        <f>G218+H218</f>
        <v/>
      </c>
      <c r="P218" s="100">
        <f>G218+H218-I218-J218</f>
        <v/>
      </c>
      <c r="Q218" s="100">
        <f>MAX(0,P218)</f>
        <v/>
      </c>
      <c r="R218" s="100">
        <f>MAX(0,-P218)</f>
        <v/>
      </c>
      <c r="S218" s="101">
        <f>IFERROR(J218/O218,0)</f>
        <v/>
      </c>
      <c r="T218" s="101">
        <f>IFERROR(I218/O218,0)</f>
        <v/>
      </c>
      <c r="U218" s="102">
        <f>IF(P218&lt;=K218,"Reorder Required","Stock Sufficient")</f>
        <v/>
      </c>
      <c r="V218" s="102">
        <f>IF(AND(Q218=M218,(U218="Reorder Required")=(N218="Reorder Required")),"OK","Mismatch")</f>
        <v/>
      </c>
      <c r="W218" s="99" t="inlineStr">
        <is>
          <t>Restock immediately</t>
        </is>
      </c>
    </row>
    <row r="219">
      <c r="A219" s="99" t="inlineStr">
        <is>
          <t>INV00218</t>
        </is>
      </c>
      <c r="B219" s="99" t="inlineStr">
        <is>
          <t>OUT005</t>
        </is>
      </c>
      <c r="C219" s="99">
        <f>INDEX(Lookup!$B$2:$B$11,MATCH(B219,Lookup!$A$2:$A$11,0))</f>
        <v/>
      </c>
      <c r="D219" s="99" t="inlineStr">
        <is>
          <t>BP018</t>
        </is>
      </c>
      <c r="E219" s="99">
        <f>INDEX(Lookup!$E$2:$E$51,MATCH(D219,Lookup!$D$2:$D$51,0))</f>
        <v/>
      </c>
      <c r="F219" s="99">
        <f>INDEX(Lookup!$F$2:$F$51,MATCH(D219,Lookup!$D$2:$D$51,0))</f>
        <v/>
      </c>
      <c r="G219" s="100" t="n">
        <v>108</v>
      </c>
      <c r="H219" s="100" t="n">
        <v>92</v>
      </c>
      <c r="I219" s="100" t="n">
        <v>86</v>
      </c>
      <c r="J219" s="100" t="n">
        <v>2</v>
      </c>
      <c r="K219" s="100" t="n">
        <v>17</v>
      </c>
      <c r="L219" s="100" t="n">
        <v>5</v>
      </c>
      <c r="M219" s="100" t="n">
        <v>112</v>
      </c>
      <c r="N219" s="99" t="inlineStr">
        <is>
          <t>Healthy</t>
        </is>
      </c>
      <c r="O219" s="100">
        <f>G219+H219</f>
        <v/>
      </c>
      <c r="P219" s="100">
        <f>G219+H219-I219-J219</f>
        <v/>
      </c>
      <c r="Q219" s="100">
        <f>MAX(0,P219)</f>
        <v/>
      </c>
      <c r="R219" s="100">
        <f>MAX(0,-P219)</f>
        <v/>
      </c>
      <c r="S219" s="101">
        <f>IFERROR(J219/O219,0)</f>
        <v/>
      </c>
      <c r="T219" s="101">
        <f>IFERROR(I219/O219,0)</f>
        <v/>
      </c>
      <c r="U219" s="102">
        <f>IF(P219&lt;=K219,"Reorder Required","Stock Sufficient")</f>
        <v/>
      </c>
      <c r="V219" s="102">
        <f>IF(AND(Q219=M219,(U219="Reorder Required")=(N219="Reorder Required")),"OK","Mismatch")</f>
        <v/>
      </c>
      <c r="W219" s="99" t="n"/>
    </row>
    <row r="220">
      <c r="A220" s="99" t="inlineStr">
        <is>
          <t>INV00219</t>
        </is>
      </c>
      <c r="B220" s="99" t="inlineStr">
        <is>
          <t>OUT005</t>
        </is>
      </c>
      <c r="C220" s="99">
        <f>INDEX(Lookup!$B$2:$B$11,MATCH(B220,Lookup!$A$2:$A$11,0))</f>
        <v/>
      </c>
      <c r="D220" s="99" t="inlineStr">
        <is>
          <t>BP019</t>
        </is>
      </c>
      <c r="E220" s="99">
        <f>INDEX(Lookup!$E$2:$E$51,MATCH(D220,Lookup!$D$2:$D$51,0))</f>
        <v/>
      </c>
      <c r="F220" s="99">
        <f>INDEX(Lookup!$F$2:$F$51,MATCH(D220,Lookup!$D$2:$D$51,0))</f>
        <v/>
      </c>
      <c r="G220" s="100" t="n">
        <v>84</v>
      </c>
      <c r="H220" s="100" t="n">
        <v>34</v>
      </c>
      <c r="I220" s="100" t="n">
        <v>87</v>
      </c>
      <c r="J220" s="100" t="n">
        <v>0</v>
      </c>
      <c r="K220" s="100" t="n">
        <v>40</v>
      </c>
      <c r="L220" s="100" t="n">
        <v>4</v>
      </c>
      <c r="M220" s="100" t="n">
        <v>31</v>
      </c>
      <c r="N220" s="99" t="inlineStr">
        <is>
          <t>Reorder Required</t>
        </is>
      </c>
      <c r="O220" s="100">
        <f>G220+H220</f>
        <v/>
      </c>
      <c r="P220" s="100">
        <f>G220+H220-I220-J220</f>
        <v/>
      </c>
      <c r="Q220" s="100">
        <f>MAX(0,P220)</f>
        <v/>
      </c>
      <c r="R220" s="100">
        <f>MAX(0,-P220)</f>
        <v/>
      </c>
      <c r="S220" s="101">
        <f>IFERROR(J220/O220,0)</f>
        <v/>
      </c>
      <c r="T220" s="101">
        <f>IFERROR(I220/O220,0)</f>
        <v/>
      </c>
      <c r="U220" s="102">
        <f>IF(P220&lt;=K220,"Reorder Required","Stock Sufficient")</f>
        <v/>
      </c>
      <c r="V220" s="102">
        <f>IF(AND(Q220=M220,(U220="Reorder Required")=(N220="Reorder Required")),"OK","Mismatch")</f>
        <v/>
      </c>
      <c r="W220" s="99" t="inlineStr">
        <is>
          <t>Restock immediately</t>
        </is>
      </c>
    </row>
    <row r="221">
      <c r="A221" s="99" t="inlineStr">
        <is>
          <t>INV00220</t>
        </is>
      </c>
      <c r="B221" s="99" t="inlineStr">
        <is>
          <t>OUT005</t>
        </is>
      </c>
      <c r="C221" s="99">
        <f>INDEX(Lookup!$B$2:$B$11,MATCH(B221,Lookup!$A$2:$A$11,0))</f>
        <v/>
      </c>
      <c r="D221" s="99" t="inlineStr">
        <is>
          <t>BP020</t>
        </is>
      </c>
      <c r="E221" s="99">
        <f>INDEX(Lookup!$E$2:$E$51,MATCH(D221,Lookup!$D$2:$D$51,0))</f>
        <v/>
      </c>
      <c r="F221" s="99">
        <f>INDEX(Lookup!$F$2:$F$51,MATCH(D221,Lookup!$D$2:$D$51,0))</f>
        <v/>
      </c>
      <c r="G221" s="100" t="n">
        <v>143</v>
      </c>
      <c r="H221" s="100" t="n">
        <v>46</v>
      </c>
      <c r="I221" s="100" t="n">
        <v>106</v>
      </c>
      <c r="J221" s="100" t="n">
        <v>0</v>
      </c>
      <c r="K221" s="100" t="n">
        <v>21</v>
      </c>
      <c r="L221" s="100" t="n">
        <v>4</v>
      </c>
      <c r="M221" s="100" t="n">
        <v>83</v>
      </c>
      <c r="N221" s="99" t="inlineStr">
        <is>
          <t>Healthy</t>
        </is>
      </c>
      <c r="O221" s="100">
        <f>G221+H221</f>
        <v/>
      </c>
      <c r="P221" s="100">
        <f>G221+H221-I221-J221</f>
        <v/>
      </c>
      <c r="Q221" s="100">
        <f>MAX(0,P221)</f>
        <v/>
      </c>
      <c r="R221" s="100">
        <f>MAX(0,-P221)</f>
        <v/>
      </c>
      <c r="S221" s="101">
        <f>IFERROR(J221/O221,0)</f>
        <v/>
      </c>
      <c r="T221" s="101">
        <f>IFERROR(I221/O221,0)</f>
        <v/>
      </c>
      <c r="U221" s="102">
        <f>IF(P221&lt;=K221,"Reorder Required","Stock Sufficient")</f>
        <v/>
      </c>
      <c r="V221" s="102">
        <f>IF(AND(Q221=M221,(U221="Reorder Required")=(N221="Reorder Required")),"OK","Mismatch")</f>
        <v/>
      </c>
      <c r="W221" s="99" t="n"/>
    </row>
    <row r="222">
      <c r="A222" s="99" t="inlineStr">
        <is>
          <t>INV00221</t>
        </is>
      </c>
      <c r="B222" s="99" t="inlineStr">
        <is>
          <t>OUT005</t>
        </is>
      </c>
      <c r="C222" s="99">
        <f>INDEX(Lookup!$B$2:$B$11,MATCH(B222,Lookup!$A$2:$A$11,0))</f>
        <v/>
      </c>
      <c r="D222" s="99" t="inlineStr">
        <is>
          <t>BP021</t>
        </is>
      </c>
      <c r="E222" s="99">
        <f>INDEX(Lookup!$E$2:$E$51,MATCH(D222,Lookup!$D$2:$D$51,0))</f>
        <v/>
      </c>
      <c r="F222" s="99">
        <f>INDEX(Lookup!$F$2:$F$51,MATCH(D222,Lookup!$D$2:$D$51,0))</f>
        <v/>
      </c>
      <c r="G222" s="100" t="n">
        <v>88</v>
      </c>
      <c r="H222" s="100" t="n">
        <v>51</v>
      </c>
      <c r="I222" s="100" t="n">
        <v>88</v>
      </c>
      <c r="J222" s="100" t="n">
        <v>1</v>
      </c>
      <c r="K222" s="100" t="n">
        <v>19</v>
      </c>
      <c r="L222" s="100" t="n">
        <v>2</v>
      </c>
      <c r="M222" s="100" t="n">
        <v>50</v>
      </c>
      <c r="N222" s="99" t="inlineStr">
        <is>
          <t>Healthy</t>
        </is>
      </c>
      <c r="O222" s="100">
        <f>G222+H222</f>
        <v/>
      </c>
      <c r="P222" s="100">
        <f>G222+H222-I222-J222</f>
        <v/>
      </c>
      <c r="Q222" s="100">
        <f>MAX(0,P222)</f>
        <v/>
      </c>
      <c r="R222" s="100">
        <f>MAX(0,-P222)</f>
        <v/>
      </c>
      <c r="S222" s="101">
        <f>IFERROR(J222/O222,0)</f>
        <v/>
      </c>
      <c r="T222" s="101">
        <f>IFERROR(I222/O222,0)</f>
        <v/>
      </c>
      <c r="U222" s="102">
        <f>IF(P222&lt;=K222,"Reorder Required","Stock Sufficient")</f>
        <v/>
      </c>
      <c r="V222" s="102">
        <f>IF(AND(Q222=M222,(U222="Reorder Required")=(N222="Reorder Required")),"OK","Mismatch")</f>
        <v/>
      </c>
      <c r="W222" s="99" t="n"/>
    </row>
    <row r="223">
      <c r="A223" s="99" t="inlineStr">
        <is>
          <t>INV00222</t>
        </is>
      </c>
      <c r="B223" s="99" t="inlineStr">
        <is>
          <t>OUT005</t>
        </is>
      </c>
      <c r="C223" s="99">
        <f>INDEX(Lookup!$B$2:$B$11,MATCH(B223,Lookup!$A$2:$A$11,0))</f>
        <v/>
      </c>
      <c r="D223" s="99" t="inlineStr">
        <is>
          <t>BP022</t>
        </is>
      </c>
      <c r="E223" s="99">
        <f>INDEX(Lookup!$E$2:$E$51,MATCH(D223,Lookup!$D$2:$D$51,0))</f>
        <v/>
      </c>
      <c r="F223" s="99">
        <f>INDEX(Lookup!$F$2:$F$51,MATCH(D223,Lookup!$D$2:$D$51,0))</f>
        <v/>
      </c>
      <c r="G223" s="100" t="n">
        <v>53</v>
      </c>
      <c r="H223" s="100" t="n">
        <v>59</v>
      </c>
      <c r="I223" s="100" t="n">
        <v>58</v>
      </c>
      <c r="J223" s="100" t="n">
        <v>2</v>
      </c>
      <c r="K223" s="100" t="n">
        <v>39</v>
      </c>
      <c r="L223" s="100" t="n">
        <v>5</v>
      </c>
      <c r="M223" s="100" t="n">
        <v>52</v>
      </c>
      <c r="N223" s="99" t="inlineStr">
        <is>
          <t>Healthy</t>
        </is>
      </c>
      <c r="O223" s="100">
        <f>G223+H223</f>
        <v/>
      </c>
      <c r="P223" s="100">
        <f>G223+H223-I223-J223</f>
        <v/>
      </c>
      <c r="Q223" s="100">
        <f>MAX(0,P223)</f>
        <v/>
      </c>
      <c r="R223" s="100">
        <f>MAX(0,-P223)</f>
        <v/>
      </c>
      <c r="S223" s="101">
        <f>IFERROR(J223/O223,0)</f>
        <v/>
      </c>
      <c r="T223" s="101">
        <f>IFERROR(I223/O223,0)</f>
        <v/>
      </c>
      <c r="U223" s="102">
        <f>IF(P223&lt;=K223,"Reorder Required","Stock Sufficient")</f>
        <v/>
      </c>
      <c r="V223" s="102">
        <f>IF(AND(Q223=M223,(U223="Reorder Required")=(N223="Reorder Required")),"OK","Mismatch")</f>
        <v/>
      </c>
      <c r="W223" s="99" t="n"/>
    </row>
    <row r="224">
      <c r="A224" s="99" t="inlineStr">
        <is>
          <t>INV00223</t>
        </is>
      </c>
      <c r="B224" s="99" t="inlineStr">
        <is>
          <t>OUT005</t>
        </is>
      </c>
      <c r="C224" s="99">
        <f>INDEX(Lookup!$B$2:$B$11,MATCH(B224,Lookup!$A$2:$A$11,0))</f>
        <v/>
      </c>
      <c r="D224" s="99" t="inlineStr">
        <is>
          <t>BP023</t>
        </is>
      </c>
      <c r="E224" s="99">
        <f>INDEX(Lookup!$E$2:$E$51,MATCH(D224,Lookup!$D$2:$D$51,0))</f>
        <v/>
      </c>
      <c r="F224" s="99">
        <f>INDEX(Lookup!$F$2:$F$51,MATCH(D224,Lookup!$D$2:$D$51,0))</f>
        <v/>
      </c>
      <c r="G224" s="100" t="n">
        <v>49</v>
      </c>
      <c r="H224" s="100" t="n">
        <v>61</v>
      </c>
      <c r="I224" s="100" t="n">
        <v>131</v>
      </c>
      <c r="J224" s="100" t="n">
        <v>1</v>
      </c>
      <c r="K224" s="100" t="n">
        <v>20</v>
      </c>
      <c r="L224" s="100" t="n">
        <v>3</v>
      </c>
      <c r="M224" s="100" t="n">
        <v>0</v>
      </c>
      <c r="N224" s="99" t="inlineStr">
        <is>
          <t>Reorder Required</t>
        </is>
      </c>
      <c r="O224" s="100">
        <f>G224+H224</f>
        <v/>
      </c>
      <c r="P224" s="100">
        <f>G224+H224-I224-J224</f>
        <v/>
      </c>
      <c r="Q224" s="100">
        <f>MAX(0,P224)</f>
        <v/>
      </c>
      <c r="R224" s="100">
        <f>MAX(0,-P224)</f>
        <v/>
      </c>
      <c r="S224" s="101">
        <f>IFERROR(J224/O224,0)</f>
        <v/>
      </c>
      <c r="T224" s="101">
        <f>IFERROR(I224/O224,0)</f>
        <v/>
      </c>
      <c r="U224" s="102">
        <f>IF(P224&lt;=K224,"Reorder Required","Stock Sufficient")</f>
        <v/>
      </c>
      <c r="V224" s="102">
        <f>IF(AND(Q224=M224,(U224="Reorder Required")=(N224="Reorder Required")),"OK","Mismatch")</f>
        <v/>
      </c>
      <c r="W224" s="99" t="inlineStr">
        <is>
          <t>Restock immediately</t>
        </is>
      </c>
    </row>
    <row r="225">
      <c r="A225" s="99" t="inlineStr">
        <is>
          <t>INV00224</t>
        </is>
      </c>
      <c r="B225" s="99" t="inlineStr">
        <is>
          <t>OUT005</t>
        </is>
      </c>
      <c r="C225" s="99">
        <f>INDEX(Lookup!$B$2:$B$11,MATCH(B225,Lookup!$A$2:$A$11,0))</f>
        <v/>
      </c>
      <c r="D225" s="99" t="inlineStr">
        <is>
          <t>BP024</t>
        </is>
      </c>
      <c r="E225" s="99">
        <f>INDEX(Lookup!$E$2:$E$51,MATCH(D225,Lookup!$D$2:$D$51,0))</f>
        <v/>
      </c>
      <c r="F225" s="99">
        <f>INDEX(Lookup!$F$2:$F$51,MATCH(D225,Lookup!$D$2:$D$51,0))</f>
        <v/>
      </c>
      <c r="G225" s="100" t="n">
        <v>150</v>
      </c>
      <c r="H225" s="100" t="n">
        <v>62</v>
      </c>
      <c r="I225" s="100" t="n">
        <v>56</v>
      </c>
      <c r="J225" s="100" t="n">
        <v>1</v>
      </c>
      <c r="K225" s="100" t="n">
        <v>24</v>
      </c>
      <c r="L225" s="100" t="n">
        <v>4</v>
      </c>
      <c r="M225" s="100" t="n">
        <v>155</v>
      </c>
      <c r="N225" s="99" t="inlineStr">
        <is>
          <t>Healthy</t>
        </is>
      </c>
      <c r="O225" s="100">
        <f>G225+H225</f>
        <v/>
      </c>
      <c r="P225" s="100">
        <f>G225+H225-I225-J225</f>
        <v/>
      </c>
      <c r="Q225" s="100">
        <f>MAX(0,P225)</f>
        <v/>
      </c>
      <c r="R225" s="100">
        <f>MAX(0,-P225)</f>
        <v/>
      </c>
      <c r="S225" s="101">
        <f>IFERROR(J225/O225,0)</f>
        <v/>
      </c>
      <c r="T225" s="101">
        <f>IFERROR(I225/O225,0)</f>
        <v/>
      </c>
      <c r="U225" s="102">
        <f>IF(P225&lt;=K225,"Reorder Required","Stock Sufficient")</f>
        <v/>
      </c>
      <c r="V225" s="102">
        <f>IF(AND(Q225=M225,(U225="Reorder Required")=(N225="Reorder Required")),"OK","Mismatch")</f>
        <v/>
      </c>
      <c r="W225" s="99" t="n"/>
    </row>
    <row r="226">
      <c r="A226" s="99" t="inlineStr">
        <is>
          <t>INV00225</t>
        </is>
      </c>
      <c r="B226" s="99" t="inlineStr">
        <is>
          <t>OUT005</t>
        </is>
      </c>
      <c r="C226" s="99">
        <f>INDEX(Lookup!$B$2:$B$11,MATCH(B226,Lookup!$A$2:$A$11,0))</f>
        <v/>
      </c>
      <c r="D226" s="99" t="inlineStr">
        <is>
          <t>BP025</t>
        </is>
      </c>
      <c r="E226" s="99">
        <f>INDEX(Lookup!$E$2:$E$51,MATCH(D226,Lookup!$D$2:$D$51,0))</f>
        <v/>
      </c>
      <c r="F226" s="99">
        <f>INDEX(Lookup!$F$2:$F$51,MATCH(D226,Lookup!$D$2:$D$51,0))</f>
        <v/>
      </c>
      <c r="G226" s="100" t="n">
        <v>82</v>
      </c>
      <c r="H226" s="100" t="n">
        <v>20</v>
      </c>
      <c r="I226" s="100" t="n">
        <v>107</v>
      </c>
      <c r="J226" s="100" t="n">
        <v>3</v>
      </c>
      <c r="K226" s="100" t="n">
        <v>31</v>
      </c>
      <c r="L226" s="100" t="n">
        <v>5</v>
      </c>
      <c r="M226" s="100" t="n">
        <v>0</v>
      </c>
      <c r="N226" s="99" t="inlineStr">
        <is>
          <t>Reorder Required</t>
        </is>
      </c>
      <c r="O226" s="100">
        <f>G226+H226</f>
        <v/>
      </c>
      <c r="P226" s="100">
        <f>G226+H226-I226-J226</f>
        <v/>
      </c>
      <c r="Q226" s="100">
        <f>MAX(0,P226)</f>
        <v/>
      </c>
      <c r="R226" s="100">
        <f>MAX(0,-P226)</f>
        <v/>
      </c>
      <c r="S226" s="101">
        <f>IFERROR(J226/O226,0)</f>
        <v/>
      </c>
      <c r="T226" s="101">
        <f>IFERROR(I226/O226,0)</f>
        <v/>
      </c>
      <c r="U226" s="102">
        <f>IF(P226&lt;=K226,"Reorder Required","Stock Sufficient")</f>
        <v/>
      </c>
      <c r="V226" s="102">
        <f>IF(AND(Q226=M226,(U226="Reorder Required")=(N226="Reorder Required")),"OK","Mismatch")</f>
        <v/>
      </c>
      <c r="W226" s="99" t="inlineStr">
        <is>
          <t>Restock immediately</t>
        </is>
      </c>
    </row>
    <row r="227">
      <c r="A227" s="99" t="inlineStr">
        <is>
          <t>INV00226</t>
        </is>
      </c>
      <c r="B227" s="99" t="inlineStr">
        <is>
          <t>OUT005</t>
        </is>
      </c>
      <c r="C227" s="99">
        <f>INDEX(Lookup!$B$2:$B$11,MATCH(B227,Lookup!$A$2:$A$11,0))</f>
        <v/>
      </c>
      <c r="D227" s="99" t="inlineStr">
        <is>
          <t>BP026</t>
        </is>
      </c>
      <c r="E227" s="99">
        <f>INDEX(Lookup!$E$2:$E$51,MATCH(D227,Lookup!$D$2:$D$51,0))</f>
        <v/>
      </c>
      <c r="F227" s="99">
        <f>INDEX(Lookup!$F$2:$F$51,MATCH(D227,Lookup!$D$2:$D$51,0))</f>
        <v/>
      </c>
      <c r="G227" s="100" t="n">
        <v>76</v>
      </c>
      <c r="H227" s="100" t="n">
        <v>49</v>
      </c>
      <c r="I227" s="100" t="n">
        <v>64</v>
      </c>
      <c r="J227" s="100" t="n">
        <v>3</v>
      </c>
      <c r="K227" s="100" t="n">
        <v>32</v>
      </c>
      <c r="L227" s="100" t="n">
        <v>1</v>
      </c>
      <c r="M227" s="100" t="n">
        <v>58</v>
      </c>
      <c r="N227" s="99" t="inlineStr">
        <is>
          <t>Healthy</t>
        </is>
      </c>
      <c r="O227" s="100">
        <f>G227+H227</f>
        <v/>
      </c>
      <c r="P227" s="100">
        <f>G227+H227-I227-J227</f>
        <v/>
      </c>
      <c r="Q227" s="100">
        <f>MAX(0,P227)</f>
        <v/>
      </c>
      <c r="R227" s="100">
        <f>MAX(0,-P227)</f>
        <v/>
      </c>
      <c r="S227" s="101">
        <f>IFERROR(J227/O227,0)</f>
        <v/>
      </c>
      <c r="T227" s="101">
        <f>IFERROR(I227/O227,0)</f>
        <v/>
      </c>
      <c r="U227" s="102">
        <f>IF(P227&lt;=K227,"Reorder Required","Stock Sufficient")</f>
        <v/>
      </c>
      <c r="V227" s="102">
        <f>IF(AND(Q227=M227,(U227="Reorder Required")=(N227="Reorder Required")),"OK","Mismatch")</f>
        <v/>
      </c>
      <c r="W227" s="99" t="n"/>
    </row>
    <row r="228">
      <c r="A228" s="99" t="inlineStr">
        <is>
          <t>INV00227</t>
        </is>
      </c>
      <c r="B228" s="99" t="inlineStr">
        <is>
          <t>OUT005</t>
        </is>
      </c>
      <c r="C228" s="99">
        <f>INDEX(Lookup!$B$2:$B$11,MATCH(B228,Lookup!$A$2:$A$11,0))</f>
        <v/>
      </c>
      <c r="D228" s="99" t="inlineStr">
        <is>
          <t>BP027</t>
        </is>
      </c>
      <c r="E228" s="99">
        <f>INDEX(Lookup!$E$2:$E$51,MATCH(D228,Lookup!$D$2:$D$51,0))</f>
        <v/>
      </c>
      <c r="F228" s="99">
        <f>INDEX(Lookup!$F$2:$F$51,MATCH(D228,Lookup!$D$2:$D$51,0))</f>
        <v/>
      </c>
      <c r="G228" s="100" t="n">
        <v>149</v>
      </c>
      <c r="H228" s="100" t="n">
        <v>29</v>
      </c>
      <c r="I228" s="100" t="n">
        <v>125</v>
      </c>
      <c r="J228" s="100" t="n">
        <v>3</v>
      </c>
      <c r="K228" s="100" t="n">
        <v>18</v>
      </c>
      <c r="L228" s="100" t="n">
        <v>1</v>
      </c>
      <c r="M228" s="100" t="n">
        <v>50</v>
      </c>
      <c r="N228" s="99" t="inlineStr">
        <is>
          <t>Healthy</t>
        </is>
      </c>
      <c r="O228" s="100">
        <f>G228+H228</f>
        <v/>
      </c>
      <c r="P228" s="100">
        <f>G228+H228-I228-J228</f>
        <v/>
      </c>
      <c r="Q228" s="100">
        <f>MAX(0,P228)</f>
        <v/>
      </c>
      <c r="R228" s="100">
        <f>MAX(0,-P228)</f>
        <v/>
      </c>
      <c r="S228" s="101">
        <f>IFERROR(J228/O228,0)</f>
        <v/>
      </c>
      <c r="T228" s="101">
        <f>IFERROR(I228/O228,0)</f>
        <v/>
      </c>
      <c r="U228" s="102">
        <f>IF(P228&lt;=K228,"Reorder Required","Stock Sufficient")</f>
        <v/>
      </c>
      <c r="V228" s="102">
        <f>IF(AND(Q228=M228,(U228="Reorder Required")=(N228="Reorder Required")),"OK","Mismatch")</f>
        <v/>
      </c>
      <c r="W228" s="99" t="n"/>
    </row>
    <row r="229">
      <c r="A229" s="99" t="inlineStr">
        <is>
          <t>INV00228</t>
        </is>
      </c>
      <c r="B229" s="99" t="inlineStr">
        <is>
          <t>OUT005</t>
        </is>
      </c>
      <c r="C229" s="99">
        <f>INDEX(Lookup!$B$2:$B$11,MATCH(B229,Lookup!$A$2:$A$11,0))</f>
        <v/>
      </c>
      <c r="D229" s="99" t="inlineStr">
        <is>
          <t>BP028</t>
        </is>
      </c>
      <c r="E229" s="99">
        <f>INDEX(Lookup!$E$2:$E$51,MATCH(D229,Lookup!$D$2:$D$51,0))</f>
        <v/>
      </c>
      <c r="F229" s="99">
        <f>INDEX(Lookup!$F$2:$F$51,MATCH(D229,Lookup!$D$2:$D$51,0))</f>
        <v/>
      </c>
      <c r="G229" s="100" t="n">
        <v>125</v>
      </c>
      <c r="H229" s="100" t="n">
        <v>29</v>
      </c>
      <c r="I229" s="100" t="n">
        <v>73</v>
      </c>
      <c r="J229" s="100" t="n">
        <v>0</v>
      </c>
      <c r="K229" s="100" t="n">
        <v>21</v>
      </c>
      <c r="L229" s="100" t="n">
        <v>4</v>
      </c>
      <c r="M229" s="100" t="n">
        <v>81</v>
      </c>
      <c r="N229" s="99" t="inlineStr">
        <is>
          <t>Healthy</t>
        </is>
      </c>
      <c r="O229" s="100">
        <f>G229+H229</f>
        <v/>
      </c>
      <c r="P229" s="100">
        <f>G229+H229-I229-J229</f>
        <v/>
      </c>
      <c r="Q229" s="100">
        <f>MAX(0,P229)</f>
        <v/>
      </c>
      <c r="R229" s="100">
        <f>MAX(0,-P229)</f>
        <v/>
      </c>
      <c r="S229" s="101">
        <f>IFERROR(J229/O229,0)</f>
        <v/>
      </c>
      <c r="T229" s="101">
        <f>IFERROR(I229/O229,0)</f>
        <v/>
      </c>
      <c r="U229" s="102">
        <f>IF(P229&lt;=K229,"Reorder Required","Stock Sufficient")</f>
        <v/>
      </c>
      <c r="V229" s="102">
        <f>IF(AND(Q229=M229,(U229="Reorder Required")=(N229="Reorder Required")),"OK","Mismatch")</f>
        <v/>
      </c>
      <c r="W229" s="99" t="n"/>
    </row>
    <row r="230">
      <c r="A230" s="99" t="inlineStr">
        <is>
          <t>INV00229</t>
        </is>
      </c>
      <c r="B230" s="99" t="inlineStr">
        <is>
          <t>OUT005</t>
        </is>
      </c>
      <c r="C230" s="99">
        <f>INDEX(Lookup!$B$2:$B$11,MATCH(B230,Lookup!$A$2:$A$11,0))</f>
        <v/>
      </c>
      <c r="D230" s="99" t="inlineStr">
        <is>
          <t>BP029</t>
        </is>
      </c>
      <c r="E230" s="99">
        <f>INDEX(Lookup!$E$2:$E$51,MATCH(D230,Lookup!$D$2:$D$51,0))</f>
        <v/>
      </c>
      <c r="F230" s="99">
        <f>INDEX(Lookup!$F$2:$F$51,MATCH(D230,Lookup!$D$2:$D$51,0))</f>
        <v/>
      </c>
      <c r="G230" s="100" t="n">
        <v>48</v>
      </c>
      <c r="H230" s="100" t="n">
        <v>21</v>
      </c>
      <c r="I230" s="100" t="n">
        <v>99</v>
      </c>
      <c r="J230" s="100" t="n">
        <v>1</v>
      </c>
      <c r="K230" s="100" t="n">
        <v>31</v>
      </c>
      <c r="L230" s="100" t="n">
        <v>3</v>
      </c>
      <c r="M230" s="100" t="n">
        <v>0</v>
      </c>
      <c r="N230" s="99" t="inlineStr">
        <is>
          <t>Reorder Required</t>
        </is>
      </c>
      <c r="O230" s="100">
        <f>G230+H230</f>
        <v/>
      </c>
      <c r="P230" s="100">
        <f>G230+H230-I230-J230</f>
        <v/>
      </c>
      <c r="Q230" s="100">
        <f>MAX(0,P230)</f>
        <v/>
      </c>
      <c r="R230" s="100">
        <f>MAX(0,-P230)</f>
        <v/>
      </c>
      <c r="S230" s="101">
        <f>IFERROR(J230/O230,0)</f>
        <v/>
      </c>
      <c r="T230" s="101">
        <f>IFERROR(I230/O230,0)</f>
        <v/>
      </c>
      <c r="U230" s="102">
        <f>IF(P230&lt;=K230,"Reorder Required","Stock Sufficient")</f>
        <v/>
      </c>
      <c r="V230" s="102">
        <f>IF(AND(Q230=M230,(U230="Reorder Required")=(N230="Reorder Required")),"OK","Mismatch")</f>
        <v/>
      </c>
      <c r="W230" s="99" t="inlineStr">
        <is>
          <t>Restock immediately</t>
        </is>
      </c>
    </row>
    <row r="231">
      <c r="A231" s="99" t="inlineStr">
        <is>
          <t>INV00230</t>
        </is>
      </c>
      <c r="B231" s="99" t="inlineStr">
        <is>
          <t>OUT005</t>
        </is>
      </c>
      <c r="C231" s="99">
        <f>INDEX(Lookup!$B$2:$B$11,MATCH(B231,Lookup!$A$2:$A$11,0))</f>
        <v/>
      </c>
      <c r="D231" s="99" t="inlineStr">
        <is>
          <t>BP030</t>
        </is>
      </c>
      <c r="E231" s="99">
        <f>INDEX(Lookup!$E$2:$E$51,MATCH(D231,Lookup!$D$2:$D$51,0))</f>
        <v/>
      </c>
      <c r="F231" s="99">
        <f>INDEX(Lookup!$F$2:$F$51,MATCH(D231,Lookup!$D$2:$D$51,0))</f>
        <v/>
      </c>
      <c r="G231" s="100" t="n">
        <v>70</v>
      </c>
      <c r="H231" s="100" t="n">
        <v>64</v>
      </c>
      <c r="I231" s="100" t="n">
        <v>67</v>
      </c>
      <c r="J231" s="100" t="n">
        <v>8</v>
      </c>
      <c r="K231" s="100" t="n">
        <v>27</v>
      </c>
      <c r="L231" s="100" t="n">
        <v>5</v>
      </c>
      <c r="M231" s="100" t="n">
        <v>59</v>
      </c>
      <c r="N231" s="99" t="inlineStr">
        <is>
          <t>Healthy</t>
        </is>
      </c>
      <c r="O231" s="100">
        <f>G231+H231</f>
        <v/>
      </c>
      <c r="P231" s="100">
        <f>G231+H231-I231-J231</f>
        <v/>
      </c>
      <c r="Q231" s="100">
        <f>MAX(0,P231)</f>
        <v/>
      </c>
      <c r="R231" s="100">
        <f>MAX(0,-P231)</f>
        <v/>
      </c>
      <c r="S231" s="101">
        <f>IFERROR(J231/O231,0)</f>
        <v/>
      </c>
      <c r="T231" s="101">
        <f>IFERROR(I231/O231,0)</f>
        <v/>
      </c>
      <c r="U231" s="102">
        <f>IF(P231&lt;=K231,"Reorder Required","Stock Sufficient")</f>
        <v/>
      </c>
      <c r="V231" s="102">
        <f>IF(AND(Q231=M231,(U231="Reorder Required")=(N231="Reorder Required")),"OK","Mismatch")</f>
        <v/>
      </c>
      <c r="W231" s="99" t="n"/>
    </row>
    <row r="232">
      <c r="A232" s="99" t="inlineStr">
        <is>
          <t>INV00231</t>
        </is>
      </c>
      <c r="B232" s="99" t="inlineStr">
        <is>
          <t>OUT005</t>
        </is>
      </c>
      <c r="C232" s="99">
        <f>INDEX(Lookup!$B$2:$B$11,MATCH(B232,Lookup!$A$2:$A$11,0))</f>
        <v/>
      </c>
      <c r="D232" s="99" t="inlineStr">
        <is>
          <t>BP031</t>
        </is>
      </c>
      <c r="E232" s="99">
        <f>INDEX(Lookup!$E$2:$E$51,MATCH(D232,Lookup!$D$2:$D$51,0))</f>
        <v/>
      </c>
      <c r="F232" s="99">
        <f>INDEX(Lookup!$F$2:$F$51,MATCH(D232,Lookup!$D$2:$D$51,0))</f>
        <v/>
      </c>
      <c r="G232" s="100" t="n">
        <v>96</v>
      </c>
      <c r="H232" s="100" t="n">
        <v>35</v>
      </c>
      <c r="I232" s="100" t="n">
        <v>55</v>
      </c>
      <c r="J232" s="100" t="n">
        <v>8</v>
      </c>
      <c r="K232" s="100" t="n">
        <v>20</v>
      </c>
      <c r="L232" s="100" t="n">
        <v>2</v>
      </c>
      <c r="M232" s="100" t="n">
        <v>68</v>
      </c>
      <c r="N232" s="99" t="inlineStr">
        <is>
          <t>Healthy</t>
        </is>
      </c>
      <c r="O232" s="100">
        <f>G232+H232</f>
        <v/>
      </c>
      <c r="P232" s="100">
        <f>G232+H232-I232-J232</f>
        <v/>
      </c>
      <c r="Q232" s="100">
        <f>MAX(0,P232)</f>
        <v/>
      </c>
      <c r="R232" s="100">
        <f>MAX(0,-P232)</f>
        <v/>
      </c>
      <c r="S232" s="101">
        <f>IFERROR(J232/O232,0)</f>
        <v/>
      </c>
      <c r="T232" s="101">
        <f>IFERROR(I232/O232,0)</f>
        <v/>
      </c>
      <c r="U232" s="102">
        <f>IF(P232&lt;=K232,"Reorder Required","Stock Sufficient")</f>
        <v/>
      </c>
      <c r="V232" s="102">
        <f>IF(AND(Q232=M232,(U232="Reorder Required")=(N232="Reorder Required")),"OK","Mismatch")</f>
        <v/>
      </c>
      <c r="W232" s="99" t="n"/>
    </row>
    <row r="233">
      <c r="A233" s="99" t="inlineStr">
        <is>
          <t>INV00232</t>
        </is>
      </c>
      <c r="B233" s="99" t="inlineStr">
        <is>
          <t>OUT005</t>
        </is>
      </c>
      <c r="C233" s="99">
        <f>INDEX(Lookup!$B$2:$B$11,MATCH(B233,Lookup!$A$2:$A$11,0))</f>
        <v/>
      </c>
      <c r="D233" s="99" t="inlineStr">
        <is>
          <t>BP032</t>
        </is>
      </c>
      <c r="E233" s="99">
        <f>INDEX(Lookup!$E$2:$E$51,MATCH(D233,Lookup!$D$2:$D$51,0))</f>
        <v/>
      </c>
      <c r="F233" s="99">
        <f>INDEX(Lookup!$F$2:$F$51,MATCH(D233,Lookup!$D$2:$D$51,0))</f>
        <v/>
      </c>
      <c r="G233" s="100" t="n">
        <v>140</v>
      </c>
      <c r="H233" s="100" t="n">
        <v>84</v>
      </c>
      <c r="I233" s="100" t="n">
        <v>52</v>
      </c>
      <c r="J233" s="100" t="n">
        <v>3</v>
      </c>
      <c r="K233" s="100" t="n">
        <v>30</v>
      </c>
      <c r="L233" s="100" t="n">
        <v>5</v>
      </c>
      <c r="M233" s="100" t="n">
        <v>169</v>
      </c>
      <c r="N233" s="99" t="inlineStr">
        <is>
          <t>Healthy</t>
        </is>
      </c>
      <c r="O233" s="100">
        <f>G233+H233</f>
        <v/>
      </c>
      <c r="P233" s="100">
        <f>G233+H233-I233-J233</f>
        <v/>
      </c>
      <c r="Q233" s="100">
        <f>MAX(0,P233)</f>
        <v/>
      </c>
      <c r="R233" s="100">
        <f>MAX(0,-P233)</f>
        <v/>
      </c>
      <c r="S233" s="101">
        <f>IFERROR(J233/O233,0)</f>
        <v/>
      </c>
      <c r="T233" s="101">
        <f>IFERROR(I233/O233,0)</f>
        <v/>
      </c>
      <c r="U233" s="102">
        <f>IF(P233&lt;=K233,"Reorder Required","Stock Sufficient")</f>
        <v/>
      </c>
      <c r="V233" s="102">
        <f>IF(AND(Q233=M233,(U233="Reorder Required")=(N233="Reorder Required")),"OK","Mismatch")</f>
        <v/>
      </c>
      <c r="W233" s="99" t="n"/>
    </row>
    <row r="234">
      <c r="A234" s="99" t="inlineStr">
        <is>
          <t>INV00233</t>
        </is>
      </c>
      <c r="B234" s="99" t="inlineStr">
        <is>
          <t>OUT005</t>
        </is>
      </c>
      <c r="C234" s="99">
        <f>INDEX(Lookup!$B$2:$B$11,MATCH(B234,Lookup!$A$2:$A$11,0))</f>
        <v/>
      </c>
      <c r="D234" s="99" t="inlineStr">
        <is>
          <t>BP033</t>
        </is>
      </c>
      <c r="E234" s="99">
        <f>INDEX(Lookup!$E$2:$E$51,MATCH(D234,Lookup!$D$2:$D$51,0))</f>
        <v/>
      </c>
      <c r="F234" s="99">
        <f>INDEX(Lookup!$F$2:$F$51,MATCH(D234,Lookup!$D$2:$D$51,0))</f>
        <v/>
      </c>
      <c r="G234" s="100" t="n">
        <v>90</v>
      </c>
      <c r="H234" s="100" t="n">
        <v>39</v>
      </c>
      <c r="I234" s="100" t="n">
        <v>35</v>
      </c>
      <c r="J234" s="100" t="n">
        <v>6</v>
      </c>
      <c r="K234" s="100" t="n">
        <v>27</v>
      </c>
      <c r="L234" s="100" t="n">
        <v>2</v>
      </c>
      <c r="M234" s="100" t="n">
        <v>88</v>
      </c>
      <c r="N234" s="99" t="inlineStr">
        <is>
          <t>Healthy</t>
        </is>
      </c>
      <c r="O234" s="100">
        <f>G234+H234</f>
        <v/>
      </c>
      <c r="P234" s="100">
        <f>G234+H234-I234-J234</f>
        <v/>
      </c>
      <c r="Q234" s="100">
        <f>MAX(0,P234)</f>
        <v/>
      </c>
      <c r="R234" s="100">
        <f>MAX(0,-P234)</f>
        <v/>
      </c>
      <c r="S234" s="101">
        <f>IFERROR(J234/O234,0)</f>
        <v/>
      </c>
      <c r="T234" s="101">
        <f>IFERROR(I234/O234,0)</f>
        <v/>
      </c>
      <c r="U234" s="102">
        <f>IF(P234&lt;=K234,"Reorder Required","Stock Sufficient")</f>
        <v/>
      </c>
      <c r="V234" s="102">
        <f>IF(AND(Q234=M234,(U234="Reorder Required")=(N234="Reorder Required")),"OK","Mismatch")</f>
        <v/>
      </c>
      <c r="W234" s="99" t="n"/>
    </row>
    <row r="235">
      <c r="A235" s="99" t="inlineStr">
        <is>
          <t>INV00234</t>
        </is>
      </c>
      <c r="B235" s="99" t="inlineStr">
        <is>
          <t>OUT005</t>
        </is>
      </c>
      <c r="C235" s="99">
        <f>INDEX(Lookup!$B$2:$B$11,MATCH(B235,Lookup!$A$2:$A$11,0))</f>
        <v/>
      </c>
      <c r="D235" s="99" t="inlineStr">
        <is>
          <t>BP034</t>
        </is>
      </c>
      <c r="E235" s="99">
        <f>INDEX(Lookup!$E$2:$E$51,MATCH(D235,Lookup!$D$2:$D$51,0))</f>
        <v/>
      </c>
      <c r="F235" s="99">
        <f>INDEX(Lookup!$F$2:$F$51,MATCH(D235,Lookup!$D$2:$D$51,0))</f>
        <v/>
      </c>
      <c r="G235" s="100" t="n">
        <v>61</v>
      </c>
      <c r="H235" s="100" t="n">
        <v>21</v>
      </c>
      <c r="I235" s="100" t="n">
        <v>140</v>
      </c>
      <c r="J235" s="100" t="n">
        <v>6</v>
      </c>
      <c r="K235" s="100" t="n">
        <v>36</v>
      </c>
      <c r="L235" s="100" t="n">
        <v>5</v>
      </c>
      <c r="M235" s="100" t="n">
        <v>0</v>
      </c>
      <c r="N235" s="99" t="inlineStr">
        <is>
          <t>Reorder Required</t>
        </is>
      </c>
      <c r="O235" s="100">
        <f>G235+H235</f>
        <v/>
      </c>
      <c r="P235" s="100">
        <f>G235+H235-I235-J235</f>
        <v/>
      </c>
      <c r="Q235" s="100">
        <f>MAX(0,P235)</f>
        <v/>
      </c>
      <c r="R235" s="100">
        <f>MAX(0,-P235)</f>
        <v/>
      </c>
      <c r="S235" s="101">
        <f>IFERROR(J235/O235,0)</f>
        <v/>
      </c>
      <c r="T235" s="101">
        <f>IFERROR(I235/O235,0)</f>
        <v/>
      </c>
      <c r="U235" s="102">
        <f>IF(P235&lt;=K235,"Reorder Required","Stock Sufficient")</f>
        <v/>
      </c>
      <c r="V235" s="102">
        <f>IF(AND(Q235=M235,(U235="Reorder Required")=(N235="Reorder Required")),"OK","Mismatch")</f>
        <v/>
      </c>
      <c r="W235" s="99" t="inlineStr">
        <is>
          <t>Restock immediately</t>
        </is>
      </c>
    </row>
    <row r="236">
      <c r="A236" s="99" t="inlineStr">
        <is>
          <t>INV00235</t>
        </is>
      </c>
      <c r="B236" s="99" t="inlineStr">
        <is>
          <t>OUT005</t>
        </is>
      </c>
      <c r="C236" s="99">
        <f>INDEX(Lookup!$B$2:$B$11,MATCH(B236,Lookup!$A$2:$A$11,0))</f>
        <v/>
      </c>
      <c r="D236" s="99" t="inlineStr">
        <is>
          <t>BP035</t>
        </is>
      </c>
      <c r="E236" s="99">
        <f>INDEX(Lookup!$E$2:$E$51,MATCH(D236,Lookup!$D$2:$D$51,0))</f>
        <v/>
      </c>
      <c r="F236" s="99">
        <f>INDEX(Lookup!$F$2:$F$51,MATCH(D236,Lookup!$D$2:$D$51,0))</f>
        <v/>
      </c>
      <c r="G236" s="100" t="n">
        <v>136</v>
      </c>
      <c r="H236" s="100" t="n">
        <v>86</v>
      </c>
      <c r="I236" s="100" t="n">
        <v>82</v>
      </c>
      <c r="J236" s="100" t="n">
        <v>6</v>
      </c>
      <c r="K236" s="100" t="n">
        <v>24</v>
      </c>
      <c r="L236" s="100" t="n">
        <v>1</v>
      </c>
      <c r="M236" s="100" t="n">
        <v>134</v>
      </c>
      <c r="N236" s="99" t="inlineStr">
        <is>
          <t>Healthy</t>
        </is>
      </c>
      <c r="O236" s="100">
        <f>G236+H236</f>
        <v/>
      </c>
      <c r="P236" s="100">
        <f>G236+H236-I236-J236</f>
        <v/>
      </c>
      <c r="Q236" s="100">
        <f>MAX(0,P236)</f>
        <v/>
      </c>
      <c r="R236" s="100">
        <f>MAX(0,-P236)</f>
        <v/>
      </c>
      <c r="S236" s="101">
        <f>IFERROR(J236/O236,0)</f>
        <v/>
      </c>
      <c r="T236" s="101">
        <f>IFERROR(I236/O236,0)</f>
        <v/>
      </c>
      <c r="U236" s="102">
        <f>IF(P236&lt;=K236,"Reorder Required","Stock Sufficient")</f>
        <v/>
      </c>
      <c r="V236" s="102">
        <f>IF(AND(Q236=M236,(U236="Reorder Required")=(N236="Reorder Required")),"OK","Mismatch")</f>
        <v/>
      </c>
      <c r="W236" s="99" t="n"/>
    </row>
    <row r="237">
      <c r="A237" s="99" t="inlineStr">
        <is>
          <t>INV00236</t>
        </is>
      </c>
      <c r="B237" s="99" t="inlineStr">
        <is>
          <t>OUT005</t>
        </is>
      </c>
      <c r="C237" s="99">
        <f>INDEX(Lookup!$B$2:$B$11,MATCH(B237,Lookup!$A$2:$A$11,0))</f>
        <v/>
      </c>
      <c r="D237" s="99" t="inlineStr">
        <is>
          <t>BP036</t>
        </is>
      </c>
      <c r="E237" s="99">
        <f>INDEX(Lookup!$E$2:$E$51,MATCH(D237,Lookup!$D$2:$D$51,0))</f>
        <v/>
      </c>
      <c r="F237" s="99">
        <f>INDEX(Lookup!$F$2:$F$51,MATCH(D237,Lookup!$D$2:$D$51,0))</f>
        <v/>
      </c>
      <c r="G237" s="100" t="n">
        <v>55</v>
      </c>
      <c r="H237" s="100" t="n">
        <v>57</v>
      </c>
      <c r="I237" s="100" t="n">
        <v>89</v>
      </c>
      <c r="J237" s="100" t="n">
        <v>4</v>
      </c>
      <c r="K237" s="100" t="n">
        <v>17</v>
      </c>
      <c r="L237" s="100" t="n">
        <v>5</v>
      </c>
      <c r="M237" s="100" t="n">
        <v>19</v>
      </c>
      <c r="N237" s="99" t="inlineStr">
        <is>
          <t>Healthy</t>
        </is>
      </c>
      <c r="O237" s="100">
        <f>G237+H237</f>
        <v/>
      </c>
      <c r="P237" s="100">
        <f>G237+H237-I237-J237</f>
        <v/>
      </c>
      <c r="Q237" s="100">
        <f>MAX(0,P237)</f>
        <v/>
      </c>
      <c r="R237" s="100">
        <f>MAX(0,-P237)</f>
        <v/>
      </c>
      <c r="S237" s="101">
        <f>IFERROR(J237/O237,0)</f>
        <v/>
      </c>
      <c r="T237" s="101">
        <f>IFERROR(I237/O237,0)</f>
        <v/>
      </c>
      <c r="U237" s="102">
        <f>IF(P237&lt;=K237,"Reorder Required","Stock Sufficient")</f>
        <v/>
      </c>
      <c r="V237" s="102">
        <f>IF(AND(Q237=M237,(U237="Reorder Required")=(N237="Reorder Required")),"OK","Mismatch")</f>
        <v/>
      </c>
      <c r="W237" s="99" t="n"/>
    </row>
    <row r="238">
      <c r="A238" s="99" t="inlineStr">
        <is>
          <t>INV00237</t>
        </is>
      </c>
      <c r="B238" s="99" t="inlineStr">
        <is>
          <t>OUT005</t>
        </is>
      </c>
      <c r="C238" s="99">
        <f>INDEX(Lookup!$B$2:$B$11,MATCH(B238,Lookup!$A$2:$A$11,0))</f>
        <v/>
      </c>
      <c r="D238" s="99" t="inlineStr">
        <is>
          <t>BP037</t>
        </is>
      </c>
      <c r="E238" s="99">
        <f>INDEX(Lookup!$E$2:$E$51,MATCH(D238,Lookup!$D$2:$D$51,0))</f>
        <v/>
      </c>
      <c r="F238" s="99">
        <f>INDEX(Lookup!$F$2:$F$51,MATCH(D238,Lookup!$D$2:$D$51,0))</f>
        <v/>
      </c>
      <c r="G238" s="100" t="n">
        <v>78</v>
      </c>
      <c r="H238" s="100" t="n">
        <v>75</v>
      </c>
      <c r="I238" s="100" t="n">
        <v>130</v>
      </c>
      <c r="J238" s="100" t="n">
        <v>6</v>
      </c>
      <c r="K238" s="100" t="n">
        <v>25</v>
      </c>
      <c r="L238" s="100" t="n">
        <v>4</v>
      </c>
      <c r="M238" s="100" t="n">
        <v>17</v>
      </c>
      <c r="N238" s="99" t="inlineStr">
        <is>
          <t>Reorder Required</t>
        </is>
      </c>
      <c r="O238" s="100">
        <f>G238+H238</f>
        <v/>
      </c>
      <c r="P238" s="100">
        <f>G238+H238-I238-J238</f>
        <v/>
      </c>
      <c r="Q238" s="100">
        <f>MAX(0,P238)</f>
        <v/>
      </c>
      <c r="R238" s="100">
        <f>MAX(0,-P238)</f>
        <v/>
      </c>
      <c r="S238" s="101">
        <f>IFERROR(J238/O238,0)</f>
        <v/>
      </c>
      <c r="T238" s="101">
        <f>IFERROR(I238/O238,0)</f>
        <v/>
      </c>
      <c r="U238" s="102">
        <f>IF(P238&lt;=K238,"Reorder Required","Stock Sufficient")</f>
        <v/>
      </c>
      <c r="V238" s="102">
        <f>IF(AND(Q238=M238,(U238="Reorder Required")=(N238="Reorder Required")),"OK","Mismatch")</f>
        <v/>
      </c>
      <c r="W238" s="99" t="inlineStr">
        <is>
          <t>Restock immediately</t>
        </is>
      </c>
    </row>
    <row r="239">
      <c r="A239" s="99" t="inlineStr">
        <is>
          <t>INV00238</t>
        </is>
      </c>
      <c r="B239" s="99" t="inlineStr">
        <is>
          <t>OUT005</t>
        </is>
      </c>
      <c r="C239" s="99">
        <f>INDEX(Lookup!$B$2:$B$11,MATCH(B239,Lookup!$A$2:$A$11,0))</f>
        <v/>
      </c>
      <c r="D239" s="99" t="inlineStr">
        <is>
          <t>BP038</t>
        </is>
      </c>
      <c r="E239" s="99">
        <f>INDEX(Lookup!$E$2:$E$51,MATCH(D239,Lookup!$D$2:$D$51,0))</f>
        <v/>
      </c>
      <c r="F239" s="99">
        <f>INDEX(Lookup!$F$2:$F$51,MATCH(D239,Lookup!$D$2:$D$51,0))</f>
        <v/>
      </c>
      <c r="G239" s="100" t="n">
        <v>119</v>
      </c>
      <c r="H239" s="100" t="n">
        <v>89</v>
      </c>
      <c r="I239" s="100" t="n">
        <v>118</v>
      </c>
      <c r="J239" s="100" t="n">
        <v>3</v>
      </c>
      <c r="K239" s="100" t="n">
        <v>30</v>
      </c>
      <c r="L239" s="100" t="n">
        <v>2</v>
      </c>
      <c r="M239" s="100" t="n">
        <v>87</v>
      </c>
      <c r="N239" s="99" t="inlineStr">
        <is>
          <t>Healthy</t>
        </is>
      </c>
      <c r="O239" s="100">
        <f>G239+H239</f>
        <v/>
      </c>
      <c r="P239" s="100">
        <f>G239+H239-I239-J239</f>
        <v/>
      </c>
      <c r="Q239" s="100">
        <f>MAX(0,P239)</f>
        <v/>
      </c>
      <c r="R239" s="100">
        <f>MAX(0,-P239)</f>
        <v/>
      </c>
      <c r="S239" s="101">
        <f>IFERROR(J239/O239,0)</f>
        <v/>
      </c>
      <c r="T239" s="101">
        <f>IFERROR(I239/O239,0)</f>
        <v/>
      </c>
      <c r="U239" s="102">
        <f>IF(P239&lt;=K239,"Reorder Required","Stock Sufficient")</f>
        <v/>
      </c>
      <c r="V239" s="102">
        <f>IF(AND(Q239=M239,(U239="Reorder Required")=(N239="Reorder Required")),"OK","Mismatch")</f>
        <v/>
      </c>
      <c r="W239" s="99" t="n"/>
    </row>
    <row r="240">
      <c r="A240" s="99" t="inlineStr">
        <is>
          <t>INV00239</t>
        </is>
      </c>
      <c r="B240" s="99" t="inlineStr">
        <is>
          <t>OUT005</t>
        </is>
      </c>
      <c r="C240" s="99">
        <f>INDEX(Lookup!$B$2:$B$11,MATCH(B240,Lookup!$A$2:$A$11,0))</f>
        <v/>
      </c>
      <c r="D240" s="99" t="inlineStr">
        <is>
          <t>BP039</t>
        </is>
      </c>
      <c r="E240" s="99">
        <f>INDEX(Lookup!$E$2:$E$51,MATCH(D240,Lookup!$D$2:$D$51,0))</f>
        <v/>
      </c>
      <c r="F240" s="99">
        <f>INDEX(Lookup!$F$2:$F$51,MATCH(D240,Lookup!$D$2:$D$51,0))</f>
        <v/>
      </c>
      <c r="G240" s="100" t="n">
        <v>126</v>
      </c>
      <c r="H240" s="100" t="n">
        <v>97</v>
      </c>
      <c r="I240" s="100" t="n">
        <v>115</v>
      </c>
      <c r="J240" s="100" t="n">
        <v>5</v>
      </c>
      <c r="K240" s="100" t="n">
        <v>36</v>
      </c>
      <c r="L240" s="100" t="n">
        <v>1</v>
      </c>
      <c r="M240" s="100" t="n">
        <v>103</v>
      </c>
      <c r="N240" s="99" t="inlineStr">
        <is>
          <t>Healthy</t>
        </is>
      </c>
      <c r="O240" s="100">
        <f>G240+H240</f>
        <v/>
      </c>
      <c r="P240" s="100">
        <f>G240+H240-I240-J240</f>
        <v/>
      </c>
      <c r="Q240" s="100">
        <f>MAX(0,P240)</f>
        <v/>
      </c>
      <c r="R240" s="100">
        <f>MAX(0,-P240)</f>
        <v/>
      </c>
      <c r="S240" s="101">
        <f>IFERROR(J240/O240,0)</f>
        <v/>
      </c>
      <c r="T240" s="101">
        <f>IFERROR(I240/O240,0)</f>
        <v/>
      </c>
      <c r="U240" s="102">
        <f>IF(P240&lt;=K240,"Reorder Required","Stock Sufficient")</f>
        <v/>
      </c>
      <c r="V240" s="102">
        <f>IF(AND(Q240=M240,(U240="Reorder Required")=(N240="Reorder Required")),"OK","Mismatch")</f>
        <v/>
      </c>
      <c r="W240" s="99" t="n"/>
    </row>
    <row r="241">
      <c r="A241" s="99" t="inlineStr">
        <is>
          <t>INV00240</t>
        </is>
      </c>
      <c r="B241" s="99" t="inlineStr">
        <is>
          <t>OUT005</t>
        </is>
      </c>
      <c r="C241" s="99">
        <f>INDEX(Lookup!$B$2:$B$11,MATCH(B241,Lookup!$A$2:$A$11,0))</f>
        <v/>
      </c>
      <c r="D241" s="99" t="inlineStr">
        <is>
          <t>BP040</t>
        </is>
      </c>
      <c r="E241" s="99">
        <f>INDEX(Lookup!$E$2:$E$51,MATCH(D241,Lookup!$D$2:$D$51,0))</f>
        <v/>
      </c>
      <c r="F241" s="99">
        <f>INDEX(Lookup!$F$2:$F$51,MATCH(D241,Lookup!$D$2:$D$51,0))</f>
        <v/>
      </c>
      <c r="G241" s="100" t="n">
        <v>132</v>
      </c>
      <c r="H241" s="100" t="n">
        <v>93</v>
      </c>
      <c r="I241" s="100" t="n">
        <v>31</v>
      </c>
      <c r="J241" s="100" t="n">
        <v>4</v>
      </c>
      <c r="K241" s="100" t="n">
        <v>30</v>
      </c>
      <c r="L241" s="100" t="n">
        <v>3</v>
      </c>
      <c r="M241" s="100" t="n">
        <v>190</v>
      </c>
      <c r="N241" s="99" t="inlineStr">
        <is>
          <t>Healthy</t>
        </is>
      </c>
      <c r="O241" s="100">
        <f>G241+H241</f>
        <v/>
      </c>
      <c r="P241" s="100">
        <f>G241+H241-I241-J241</f>
        <v/>
      </c>
      <c r="Q241" s="100">
        <f>MAX(0,P241)</f>
        <v/>
      </c>
      <c r="R241" s="100">
        <f>MAX(0,-P241)</f>
        <v/>
      </c>
      <c r="S241" s="101">
        <f>IFERROR(J241/O241,0)</f>
        <v/>
      </c>
      <c r="T241" s="101">
        <f>IFERROR(I241/O241,0)</f>
        <v/>
      </c>
      <c r="U241" s="102">
        <f>IF(P241&lt;=K241,"Reorder Required","Stock Sufficient")</f>
        <v/>
      </c>
      <c r="V241" s="102">
        <f>IF(AND(Q241=M241,(U241="Reorder Required")=(N241="Reorder Required")),"OK","Mismatch")</f>
        <v/>
      </c>
      <c r="W241" s="99" t="n"/>
    </row>
    <row r="242">
      <c r="A242" s="99" t="inlineStr">
        <is>
          <t>INV00241</t>
        </is>
      </c>
      <c r="B242" s="99" t="inlineStr">
        <is>
          <t>OUT005</t>
        </is>
      </c>
      <c r="C242" s="99">
        <f>INDEX(Lookup!$B$2:$B$11,MATCH(B242,Lookup!$A$2:$A$11,0))</f>
        <v/>
      </c>
      <c r="D242" s="99" t="inlineStr">
        <is>
          <t>BP041</t>
        </is>
      </c>
      <c r="E242" s="99">
        <f>INDEX(Lookup!$E$2:$E$51,MATCH(D242,Lookup!$D$2:$D$51,0))</f>
        <v/>
      </c>
      <c r="F242" s="99">
        <f>INDEX(Lookup!$F$2:$F$51,MATCH(D242,Lookup!$D$2:$D$51,0))</f>
        <v/>
      </c>
      <c r="G242" s="100" t="n">
        <v>95</v>
      </c>
      <c r="H242" s="100" t="n">
        <v>76</v>
      </c>
      <c r="I242" s="100" t="n">
        <v>133</v>
      </c>
      <c r="J242" s="100" t="n">
        <v>3</v>
      </c>
      <c r="K242" s="100" t="n">
        <v>31</v>
      </c>
      <c r="L242" s="100" t="n">
        <v>3</v>
      </c>
      <c r="M242" s="100" t="n">
        <v>35</v>
      </c>
      <c r="N242" s="99" t="inlineStr">
        <is>
          <t>Healthy</t>
        </is>
      </c>
      <c r="O242" s="100">
        <f>G242+H242</f>
        <v/>
      </c>
      <c r="P242" s="100">
        <f>G242+H242-I242-J242</f>
        <v/>
      </c>
      <c r="Q242" s="100">
        <f>MAX(0,P242)</f>
        <v/>
      </c>
      <c r="R242" s="100">
        <f>MAX(0,-P242)</f>
        <v/>
      </c>
      <c r="S242" s="101">
        <f>IFERROR(J242/O242,0)</f>
        <v/>
      </c>
      <c r="T242" s="101">
        <f>IFERROR(I242/O242,0)</f>
        <v/>
      </c>
      <c r="U242" s="102">
        <f>IF(P242&lt;=K242,"Reorder Required","Stock Sufficient")</f>
        <v/>
      </c>
      <c r="V242" s="102">
        <f>IF(AND(Q242=M242,(U242="Reorder Required")=(N242="Reorder Required")),"OK","Mismatch")</f>
        <v/>
      </c>
      <c r="W242" s="99" t="n"/>
    </row>
    <row r="243">
      <c r="A243" s="99" t="inlineStr">
        <is>
          <t>INV00242</t>
        </is>
      </c>
      <c r="B243" s="99" t="inlineStr">
        <is>
          <t>OUT005</t>
        </is>
      </c>
      <c r="C243" s="99">
        <f>INDEX(Lookup!$B$2:$B$11,MATCH(B243,Lookup!$A$2:$A$11,0))</f>
        <v/>
      </c>
      <c r="D243" s="99" t="inlineStr">
        <is>
          <t>BP042</t>
        </is>
      </c>
      <c r="E243" s="99">
        <f>INDEX(Lookup!$E$2:$E$51,MATCH(D243,Lookup!$D$2:$D$51,0))</f>
        <v/>
      </c>
      <c r="F243" s="99">
        <f>INDEX(Lookup!$F$2:$F$51,MATCH(D243,Lookup!$D$2:$D$51,0))</f>
        <v/>
      </c>
      <c r="G243" s="100" t="n">
        <v>124</v>
      </c>
      <c r="H243" s="100" t="n">
        <v>99</v>
      </c>
      <c r="I243" s="100" t="n">
        <v>86</v>
      </c>
      <c r="J243" s="100" t="n">
        <v>0</v>
      </c>
      <c r="K243" s="100" t="n">
        <v>35</v>
      </c>
      <c r="L243" s="100" t="n">
        <v>5</v>
      </c>
      <c r="M243" s="100" t="n">
        <v>137</v>
      </c>
      <c r="N243" s="99" t="inlineStr">
        <is>
          <t>Healthy</t>
        </is>
      </c>
      <c r="O243" s="100">
        <f>G243+H243</f>
        <v/>
      </c>
      <c r="P243" s="100">
        <f>G243+H243-I243-J243</f>
        <v/>
      </c>
      <c r="Q243" s="100">
        <f>MAX(0,P243)</f>
        <v/>
      </c>
      <c r="R243" s="100">
        <f>MAX(0,-P243)</f>
        <v/>
      </c>
      <c r="S243" s="101">
        <f>IFERROR(J243/O243,0)</f>
        <v/>
      </c>
      <c r="T243" s="101">
        <f>IFERROR(I243/O243,0)</f>
        <v/>
      </c>
      <c r="U243" s="102">
        <f>IF(P243&lt;=K243,"Reorder Required","Stock Sufficient")</f>
        <v/>
      </c>
      <c r="V243" s="102">
        <f>IF(AND(Q243=M243,(U243="Reorder Required")=(N243="Reorder Required")),"OK","Mismatch")</f>
        <v/>
      </c>
      <c r="W243" s="99" t="n"/>
    </row>
    <row r="244">
      <c r="A244" s="99" t="inlineStr">
        <is>
          <t>INV00243</t>
        </is>
      </c>
      <c r="B244" s="99" t="inlineStr">
        <is>
          <t>OUT005</t>
        </is>
      </c>
      <c r="C244" s="99">
        <f>INDEX(Lookup!$B$2:$B$11,MATCH(B244,Lookup!$A$2:$A$11,0))</f>
        <v/>
      </c>
      <c r="D244" s="99" t="inlineStr">
        <is>
          <t>BP043</t>
        </is>
      </c>
      <c r="E244" s="99">
        <f>INDEX(Lookup!$E$2:$E$51,MATCH(D244,Lookup!$D$2:$D$51,0))</f>
        <v/>
      </c>
      <c r="F244" s="99">
        <f>INDEX(Lookup!$F$2:$F$51,MATCH(D244,Lookup!$D$2:$D$51,0))</f>
        <v/>
      </c>
      <c r="G244" s="100" t="n">
        <v>51</v>
      </c>
      <c r="H244" s="100" t="n">
        <v>62</v>
      </c>
      <c r="I244" s="100" t="n">
        <v>135</v>
      </c>
      <c r="J244" s="100" t="n">
        <v>2</v>
      </c>
      <c r="K244" s="100" t="n">
        <v>34</v>
      </c>
      <c r="L244" s="100" t="n">
        <v>4</v>
      </c>
      <c r="M244" s="100" t="n">
        <v>0</v>
      </c>
      <c r="N244" s="99" t="inlineStr">
        <is>
          <t>Reorder Required</t>
        </is>
      </c>
      <c r="O244" s="100">
        <f>G244+H244</f>
        <v/>
      </c>
      <c r="P244" s="100">
        <f>G244+H244-I244-J244</f>
        <v/>
      </c>
      <c r="Q244" s="100">
        <f>MAX(0,P244)</f>
        <v/>
      </c>
      <c r="R244" s="100">
        <f>MAX(0,-P244)</f>
        <v/>
      </c>
      <c r="S244" s="101">
        <f>IFERROR(J244/O244,0)</f>
        <v/>
      </c>
      <c r="T244" s="101">
        <f>IFERROR(I244/O244,0)</f>
        <v/>
      </c>
      <c r="U244" s="102">
        <f>IF(P244&lt;=K244,"Reorder Required","Stock Sufficient")</f>
        <v/>
      </c>
      <c r="V244" s="102">
        <f>IF(AND(Q244=M244,(U244="Reorder Required")=(N244="Reorder Required")),"OK","Mismatch")</f>
        <v/>
      </c>
      <c r="W244" s="99" t="inlineStr">
        <is>
          <t>Restock immediately</t>
        </is>
      </c>
    </row>
    <row r="245">
      <c r="A245" s="99" t="inlineStr">
        <is>
          <t>INV00244</t>
        </is>
      </c>
      <c r="B245" s="99" t="inlineStr">
        <is>
          <t>OUT005</t>
        </is>
      </c>
      <c r="C245" s="99">
        <f>INDEX(Lookup!$B$2:$B$11,MATCH(B245,Lookup!$A$2:$A$11,0))</f>
        <v/>
      </c>
      <c r="D245" s="99" t="inlineStr">
        <is>
          <t>BP044</t>
        </is>
      </c>
      <c r="E245" s="99">
        <f>INDEX(Lookup!$E$2:$E$51,MATCH(D245,Lookup!$D$2:$D$51,0))</f>
        <v/>
      </c>
      <c r="F245" s="99">
        <f>INDEX(Lookup!$F$2:$F$51,MATCH(D245,Lookup!$D$2:$D$51,0))</f>
        <v/>
      </c>
      <c r="G245" s="100" t="n">
        <v>61</v>
      </c>
      <c r="H245" s="100" t="n">
        <v>91</v>
      </c>
      <c r="I245" s="100" t="n">
        <v>134</v>
      </c>
      <c r="J245" s="100" t="n">
        <v>0</v>
      </c>
      <c r="K245" s="100" t="n">
        <v>30</v>
      </c>
      <c r="L245" s="100" t="n">
        <v>5</v>
      </c>
      <c r="M245" s="100" t="n">
        <v>18</v>
      </c>
      <c r="N245" s="99" t="inlineStr">
        <is>
          <t>Reorder Required</t>
        </is>
      </c>
      <c r="O245" s="100">
        <f>G245+H245</f>
        <v/>
      </c>
      <c r="P245" s="100">
        <f>G245+H245-I245-J245</f>
        <v/>
      </c>
      <c r="Q245" s="100">
        <f>MAX(0,P245)</f>
        <v/>
      </c>
      <c r="R245" s="100">
        <f>MAX(0,-P245)</f>
        <v/>
      </c>
      <c r="S245" s="101">
        <f>IFERROR(J245/O245,0)</f>
        <v/>
      </c>
      <c r="T245" s="101">
        <f>IFERROR(I245/O245,0)</f>
        <v/>
      </c>
      <c r="U245" s="102">
        <f>IF(P245&lt;=K245,"Reorder Required","Stock Sufficient")</f>
        <v/>
      </c>
      <c r="V245" s="102">
        <f>IF(AND(Q245=M245,(U245="Reorder Required")=(N245="Reorder Required")),"OK","Mismatch")</f>
        <v/>
      </c>
      <c r="W245" s="99" t="inlineStr">
        <is>
          <t>Restock immediately</t>
        </is>
      </c>
    </row>
    <row r="246">
      <c r="A246" s="99" t="inlineStr">
        <is>
          <t>INV00245</t>
        </is>
      </c>
      <c r="B246" s="99" t="inlineStr">
        <is>
          <t>OUT005</t>
        </is>
      </c>
      <c r="C246" s="99">
        <f>INDEX(Lookup!$B$2:$B$11,MATCH(B246,Lookup!$A$2:$A$11,0))</f>
        <v/>
      </c>
      <c r="D246" s="99" t="inlineStr">
        <is>
          <t>BP045</t>
        </is>
      </c>
      <c r="E246" s="99">
        <f>INDEX(Lookup!$E$2:$E$51,MATCH(D246,Lookup!$D$2:$D$51,0))</f>
        <v/>
      </c>
      <c r="F246" s="99">
        <f>INDEX(Lookup!$F$2:$F$51,MATCH(D246,Lookup!$D$2:$D$51,0))</f>
        <v/>
      </c>
      <c r="G246" s="100" t="n">
        <v>90</v>
      </c>
      <c r="H246" s="100" t="n">
        <v>95</v>
      </c>
      <c r="I246" s="100" t="n">
        <v>39</v>
      </c>
      <c r="J246" s="100" t="n">
        <v>2</v>
      </c>
      <c r="K246" s="100" t="n">
        <v>29</v>
      </c>
      <c r="L246" s="100" t="n">
        <v>1</v>
      </c>
      <c r="M246" s="100" t="n">
        <v>144</v>
      </c>
      <c r="N246" s="99" t="inlineStr">
        <is>
          <t>Healthy</t>
        </is>
      </c>
      <c r="O246" s="100">
        <f>G246+H246</f>
        <v/>
      </c>
      <c r="P246" s="100">
        <f>G246+H246-I246-J246</f>
        <v/>
      </c>
      <c r="Q246" s="100">
        <f>MAX(0,P246)</f>
        <v/>
      </c>
      <c r="R246" s="100">
        <f>MAX(0,-P246)</f>
        <v/>
      </c>
      <c r="S246" s="101">
        <f>IFERROR(J246/O246,0)</f>
        <v/>
      </c>
      <c r="T246" s="101">
        <f>IFERROR(I246/O246,0)</f>
        <v/>
      </c>
      <c r="U246" s="102">
        <f>IF(P246&lt;=K246,"Reorder Required","Stock Sufficient")</f>
        <v/>
      </c>
      <c r="V246" s="102">
        <f>IF(AND(Q246=M246,(U246="Reorder Required")=(N246="Reorder Required")),"OK","Mismatch")</f>
        <v/>
      </c>
      <c r="W246" s="99" t="n"/>
    </row>
    <row r="247">
      <c r="A247" s="99" t="inlineStr">
        <is>
          <t>INV00246</t>
        </is>
      </c>
      <c r="B247" s="99" t="inlineStr">
        <is>
          <t>OUT005</t>
        </is>
      </c>
      <c r="C247" s="99">
        <f>INDEX(Lookup!$B$2:$B$11,MATCH(B247,Lookup!$A$2:$A$11,0))</f>
        <v/>
      </c>
      <c r="D247" s="99" t="inlineStr">
        <is>
          <t>BP046</t>
        </is>
      </c>
      <c r="E247" s="99">
        <f>INDEX(Lookup!$E$2:$E$51,MATCH(D247,Lookup!$D$2:$D$51,0))</f>
        <v/>
      </c>
      <c r="F247" s="99">
        <f>INDEX(Lookup!$F$2:$F$51,MATCH(D247,Lookup!$D$2:$D$51,0))</f>
        <v/>
      </c>
      <c r="G247" s="100" t="n">
        <v>88</v>
      </c>
      <c r="H247" s="100" t="n">
        <v>32</v>
      </c>
      <c r="I247" s="100" t="n">
        <v>88</v>
      </c>
      <c r="J247" s="100" t="n">
        <v>1</v>
      </c>
      <c r="K247" s="100" t="n">
        <v>35</v>
      </c>
      <c r="L247" s="100" t="n">
        <v>1</v>
      </c>
      <c r="M247" s="100" t="n">
        <v>31</v>
      </c>
      <c r="N247" s="99" t="inlineStr">
        <is>
          <t>Reorder Required</t>
        </is>
      </c>
      <c r="O247" s="100">
        <f>G247+H247</f>
        <v/>
      </c>
      <c r="P247" s="100">
        <f>G247+H247-I247-J247</f>
        <v/>
      </c>
      <c r="Q247" s="100">
        <f>MAX(0,P247)</f>
        <v/>
      </c>
      <c r="R247" s="100">
        <f>MAX(0,-P247)</f>
        <v/>
      </c>
      <c r="S247" s="101">
        <f>IFERROR(J247/O247,0)</f>
        <v/>
      </c>
      <c r="T247" s="101">
        <f>IFERROR(I247/O247,0)</f>
        <v/>
      </c>
      <c r="U247" s="102">
        <f>IF(P247&lt;=K247,"Reorder Required","Stock Sufficient")</f>
        <v/>
      </c>
      <c r="V247" s="102">
        <f>IF(AND(Q247=M247,(U247="Reorder Required")=(N247="Reorder Required")),"OK","Mismatch")</f>
        <v/>
      </c>
      <c r="W247" s="99" t="inlineStr">
        <is>
          <t>Restock immediately</t>
        </is>
      </c>
    </row>
    <row r="248">
      <c r="A248" s="99" t="inlineStr">
        <is>
          <t>INV00247</t>
        </is>
      </c>
      <c r="B248" s="99" t="inlineStr">
        <is>
          <t>OUT005</t>
        </is>
      </c>
      <c r="C248" s="99">
        <f>INDEX(Lookup!$B$2:$B$11,MATCH(B248,Lookup!$A$2:$A$11,0))</f>
        <v/>
      </c>
      <c r="D248" s="99" t="inlineStr">
        <is>
          <t>BP047</t>
        </is>
      </c>
      <c r="E248" s="99">
        <f>INDEX(Lookup!$E$2:$E$51,MATCH(D248,Lookup!$D$2:$D$51,0))</f>
        <v/>
      </c>
      <c r="F248" s="99">
        <f>INDEX(Lookup!$F$2:$F$51,MATCH(D248,Lookup!$D$2:$D$51,0))</f>
        <v/>
      </c>
      <c r="G248" s="100" t="n">
        <v>144</v>
      </c>
      <c r="H248" s="100" t="n">
        <v>21</v>
      </c>
      <c r="I248" s="100" t="n">
        <v>100</v>
      </c>
      <c r="J248" s="100" t="n">
        <v>0</v>
      </c>
      <c r="K248" s="100" t="n">
        <v>34</v>
      </c>
      <c r="L248" s="100" t="n">
        <v>5</v>
      </c>
      <c r="M248" s="100" t="n">
        <v>65</v>
      </c>
      <c r="N248" s="99" t="inlineStr">
        <is>
          <t>Healthy</t>
        </is>
      </c>
      <c r="O248" s="100">
        <f>G248+H248</f>
        <v/>
      </c>
      <c r="P248" s="100">
        <f>G248+H248-I248-J248</f>
        <v/>
      </c>
      <c r="Q248" s="100">
        <f>MAX(0,P248)</f>
        <v/>
      </c>
      <c r="R248" s="100">
        <f>MAX(0,-P248)</f>
        <v/>
      </c>
      <c r="S248" s="101">
        <f>IFERROR(J248/O248,0)</f>
        <v/>
      </c>
      <c r="T248" s="101">
        <f>IFERROR(I248/O248,0)</f>
        <v/>
      </c>
      <c r="U248" s="102">
        <f>IF(P248&lt;=K248,"Reorder Required","Stock Sufficient")</f>
        <v/>
      </c>
      <c r="V248" s="102">
        <f>IF(AND(Q248=M248,(U248="Reorder Required")=(N248="Reorder Required")),"OK","Mismatch")</f>
        <v/>
      </c>
      <c r="W248" s="99" t="n"/>
    </row>
    <row r="249">
      <c r="A249" s="99" t="inlineStr">
        <is>
          <t>INV00248</t>
        </is>
      </c>
      <c r="B249" s="99" t="inlineStr">
        <is>
          <t>OUT005</t>
        </is>
      </c>
      <c r="C249" s="99">
        <f>INDEX(Lookup!$B$2:$B$11,MATCH(B249,Lookup!$A$2:$A$11,0))</f>
        <v/>
      </c>
      <c r="D249" s="99" t="inlineStr">
        <is>
          <t>BP048</t>
        </is>
      </c>
      <c r="E249" s="99">
        <f>INDEX(Lookup!$E$2:$E$51,MATCH(D249,Lookup!$D$2:$D$51,0))</f>
        <v/>
      </c>
      <c r="F249" s="99">
        <f>INDEX(Lookup!$F$2:$F$51,MATCH(D249,Lookup!$D$2:$D$51,0))</f>
        <v/>
      </c>
      <c r="G249" s="100" t="n">
        <v>76</v>
      </c>
      <c r="H249" s="100" t="n">
        <v>58</v>
      </c>
      <c r="I249" s="100" t="n">
        <v>32</v>
      </c>
      <c r="J249" s="100" t="n">
        <v>1</v>
      </c>
      <c r="K249" s="100" t="n">
        <v>39</v>
      </c>
      <c r="L249" s="100" t="n">
        <v>5</v>
      </c>
      <c r="M249" s="100" t="n">
        <v>101</v>
      </c>
      <c r="N249" s="99" t="inlineStr">
        <is>
          <t>Healthy</t>
        </is>
      </c>
      <c r="O249" s="100">
        <f>G249+H249</f>
        <v/>
      </c>
      <c r="P249" s="100">
        <f>G249+H249-I249-J249</f>
        <v/>
      </c>
      <c r="Q249" s="100">
        <f>MAX(0,P249)</f>
        <v/>
      </c>
      <c r="R249" s="100">
        <f>MAX(0,-P249)</f>
        <v/>
      </c>
      <c r="S249" s="101">
        <f>IFERROR(J249/O249,0)</f>
        <v/>
      </c>
      <c r="T249" s="101">
        <f>IFERROR(I249/O249,0)</f>
        <v/>
      </c>
      <c r="U249" s="102">
        <f>IF(P249&lt;=K249,"Reorder Required","Stock Sufficient")</f>
        <v/>
      </c>
      <c r="V249" s="102">
        <f>IF(AND(Q249=M249,(U249="Reorder Required")=(N249="Reorder Required")),"OK","Mismatch")</f>
        <v/>
      </c>
      <c r="W249" s="99" t="n"/>
    </row>
    <row r="250">
      <c r="A250" s="99" t="inlineStr">
        <is>
          <t>INV00249</t>
        </is>
      </c>
      <c r="B250" s="99" t="inlineStr">
        <is>
          <t>OUT005</t>
        </is>
      </c>
      <c r="C250" s="99">
        <f>INDEX(Lookup!$B$2:$B$11,MATCH(B250,Lookup!$A$2:$A$11,0))</f>
        <v/>
      </c>
      <c r="D250" s="99" t="inlineStr">
        <is>
          <t>BP049</t>
        </is>
      </c>
      <c r="E250" s="99">
        <f>INDEX(Lookup!$E$2:$E$51,MATCH(D250,Lookup!$D$2:$D$51,0))</f>
        <v/>
      </c>
      <c r="F250" s="99">
        <f>INDEX(Lookup!$F$2:$F$51,MATCH(D250,Lookup!$D$2:$D$51,0))</f>
        <v/>
      </c>
      <c r="G250" s="100" t="n">
        <v>132</v>
      </c>
      <c r="H250" s="100" t="n">
        <v>51</v>
      </c>
      <c r="I250" s="100" t="n">
        <v>94</v>
      </c>
      <c r="J250" s="100" t="n">
        <v>2</v>
      </c>
      <c r="K250" s="100" t="n">
        <v>37</v>
      </c>
      <c r="L250" s="100" t="n">
        <v>1</v>
      </c>
      <c r="M250" s="100" t="n">
        <v>87</v>
      </c>
      <c r="N250" s="99" t="inlineStr">
        <is>
          <t>Healthy</t>
        </is>
      </c>
      <c r="O250" s="100">
        <f>G250+H250</f>
        <v/>
      </c>
      <c r="P250" s="100">
        <f>G250+H250-I250-J250</f>
        <v/>
      </c>
      <c r="Q250" s="100">
        <f>MAX(0,P250)</f>
        <v/>
      </c>
      <c r="R250" s="100">
        <f>MAX(0,-P250)</f>
        <v/>
      </c>
      <c r="S250" s="101">
        <f>IFERROR(J250/O250,0)</f>
        <v/>
      </c>
      <c r="T250" s="101">
        <f>IFERROR(I250/O250,0)</f>
        <v/>
      </c>
      <c r="U250" s="102">
        <f>IF(P250&lt;=K250,"Reorder Required","Stock Sufficient")</f>
        <v/>
      </c>
      <c r="V250" s="102">
        <f>IF(AND(Q250=M250,(U250="Reorder Required")=(N250="Reorder Required")),"OK","Mismatch")</f>
        <v/>
      </c>
      <c r="W250" s="99" t="n"/>
    </row>
    <row r="251">
      <c r="A251" s="99" t="inlineStr">
        <is>
          <t>INV00250</t>
        </is>
      </c>
      <c r="B251" s="99" t="inlineStr">
        <is>
          <t>OUT005</t>
        </is>
      </c>
      <c r="C251" s="99">
        <f>INDEX(Lookup!$B$2:$B$11,MATCH(B251,Lookup!$A$2:$A$11,0))</f>
        <v/>
      </c>
      <c r="D251" s="99" t="inlineStr">
        <is>
          <t>BP050</t>
        </is>
      </c>
      <c r="E251" s="99">
        <f>INDEX(Lookup!$E$2:$E$51,MATCH(D251,Lookup!$D$2:$D$51,0))</f>
        <v/>
      </c>
      <c r="F251" s="99">
        <f>INDEX(Lookup!$F$2:$F$51,MATCH(D251,Lookup!$D$2:$D$51,0))</f>
        <v/>
      </c>
      <c r="G251" s="100" t="n">
        <v>95</v>
      </c>
      <c r="H251" s="100" t="n">
        <v>48</v>
      </c>
      <c r="I251" s="100" t="n">
        <v>105</v>
      </c>
      <c r="J251" s="100" t="n">
        <v>1</v>
      </c>
      <c r="K251" s="100" t="n">
        <v>18</v>
      </c>
      <c r="L251" s="100" t="n">
        <v>3</v>
      </c>
      <c r="M251" s="100" t="n">
        <v>37</v>
      </c>
      <c r="N251" s="99" t="inlineStr">
        <is>
          <t>Healthy</t>
        </is>
      </c>
      <c r="O251" s="100">
        <f>G251+H251</f>
        <v/>
      </c>
      <c r="P251" s="100">
        <f>G251+H251-I251-J251</f>
        <v/>
      </c>
      <c r="Q251" s="100">
        <f>MAX(0,P251)</f>
        <v/>
      </c>
      <c r="R251" s="100">
        <f>MAX(0,-P251)</f>
        <v/>
      </c>
      <c r="S251" s="101">
        <f>IFERROR(J251/O251,0)</f>
        <v/>
      </c>
      <c r="T251" s="101">
        <f>IFERROR(I251/O251,0)</f>
        <v/>
      </c>
      <c r="U251" s="102">
        <f>IF(P251&lt;=K251,"Reorder Required","Stock Sufficient")</f>
        <v/>
      </c>
      <c r="V251" s="102">
        <f>IF(AND(Q251=M251,(U251="Reorder Required")=(N251="Reorder Required")),"OK","Mismatch")</f>
        <v/>
      </c>
      <c r="W251" s="99" t="n"/>
    </row>
    <row r="252">
      <c r="A252" s="99" t="inlineStr">
        <is>
          <t>INV00251</t>
        </is>
      </c>
      <c r="B252" s="99" t="inlineStr">
        <is>
          <t>OUT006</t>
        </is>
      </c>
      <c r="C252" s="99">
        <f>INDEX(Lookup!$B$2:$B$11,MATCH(B252,Lookup!$A$2:$A$11,0))</f>
        <v/>
      </c>
      <c r="D252" s="99" t="inlineStr">
        <is>
          <t>BP001</t>
        </is>
      </c>
      <c r="E252" s="99">
        <f>INDEX(Lookup!$E$2:$E$51,MATCH(D252,Lookup!$D$2:$D$51,0))</f>
        <v/>
      </c>
      <c r="F252" s="99">
        <f>INDEX(Lookup!$F$2:$F$51,MATCH(D252,Lookup!$D$2:$D$51,0))</f>
        <v/>
      </c>
      <c r="G252" s="100" t="n">
        <v>142</v>
      </c>
      <c r="H252" s="100" t="n">
        <v>33</v>
      </c>
      <c r="I252" s="100" t="n">
        <v>44</v>
      </c>
      <c r="J252" s="100" t="n">
        <v>2</v>
      </c>
      <c r="K252" s="100" t="n">
        <v>37</v>
      </c>
      <c r="L252" s="100" t="n">
        <v>4</v>
      </c>
      <c r="M252" s="100" t="n">
        <v>129</v>
      </c>
      <c r="N252" s="99" t="inlineStr">
        <is>
          <t>Healthy</t>
        </is>
      </c>
      <c r="O252" s="100">
        <f>G252+H252</f>
        <v/>
      </c>
      <c r="P252" s="100">
        <f>G252+H252-I252-J252</f>
        <v/>
      </c>
      <c r="Q252" s="100">
        <f>MAX(0,P252)</f>
        <v/>
      </c>
      <c r="R252" s="100">
        <f>MAX(0,-P252)</f>
        <v/>
      </c>
      <c r="S252" s="101">
        <f>IFERROR(J252/O252,0)</f>
        <v/>
      </c>
      <c r="T252" s="101">
        <f>IFERROR(I252/O252,0)</f>
        <v/>
      </c>
      <c r="U252" s="102">
        <f>IF(P252&lt;=K252,"Reorder Required","Stock Sufficient")</f>
        <v/>
      </c>
      <c r="V252" s="102">
        <f>IF(AND(Q252=M252,(U252="Reorder Required")=(N252="Reorder Required")),"OK","Mismatch")</f>
        <v/>
      </c>
      <c r="W252" s="99" t="n"/>
    </row>
    <row r="253">
      <c r="A253" s="99" t="inlineStr">
        <is>
          <t>INV00252</t>
        </is>
      </c>
      <c r="B253" s="99" t="inlineStr">
        <is>
          <t>OUT006</t>
        </is>
      </c>
      <c r="C253" s="99">
        <f>INDEX(Lookup!$B$2:$B$11,MATCH(B253,Lookup!$A$2:$A$11,0))</f>
        <v/>
      </c>
      <c r="D253" s="99" t="inlineStr">
        <is>
          <t>BP002</t>
        </is>
      </c>
      <c r="E253" s="99">
        <f>INDEX(Lookup!$E$2:$E$51,MATCH(D253,Lookup!$D$2:$D$51,0))</f>
        <v/>
      </c>
      <c r="F253" s="99">
        <f>INDEX(Lookup!$F$2:$F$51,MATCH(D253,Lookup!$D$2:$D$51,0))</f>
        <v/>
      </c>
      <c r="G253" s="100" t="n">
        <v>123</v>
      </c>
      <c r="H253" s="100" t="n">
        <v>61</v>
      </c>
      <c r="I253" s="100" t="n">
        <v>95</v>
      </c>
      <c r="J253" s="100" t="n">
        <v>0</v>
      </c>
      <c r="K253" s="100" t="n">
        <v>38</v>
      </c>
      <c r="L253" s="100" t="n">
        <v>1</v>
      </c>
      <c r="M253" s="100" t="n">
        <v>89</v>
      </c>
      <c r="N253" s="99" t="inlineStr">
        <is>
          <t>Healthy</t>
        </is>
      </c>
      <c r="O253" s="100">
        <f>G253+H253</f>
        <v/>
      </c>
      <c r="P253" s="100">
        <f>G253+H253-I253-J253</f>
        <v/>
      </c>
      <c r="Q253" s="100">
        <f>MAX(0,P253)</f>
        <v/>
      </c>
      <c r="R253" s="100">
        <f>MAX(0,-P253)</f>
        <v/>
      </c>
      <c r="S253" s="101">
        <f>IFERROR(J253/O253,0)</f>
        <v/>
      </c>
      <c r="T253" s="101">
        <f>IFERROR(I253/O253,0)</f>
        <v/>
      </c>
      <c r="U253" s="102">
        <f>IF(P253&lt;=K253,"Reorder Required","Stock Sufficient")</f>
        <v/>
      </c>
      <c r="V253" s="102">
        <f>IF(AND(Q253=M253,(U253="Reorder Required")=(N253="Reorder Required")),"OK","Mismatch")</f>
        <v/>
      </c>
      <c r="W253" s="99" t="n"/>
    </row>
    <row r="254">
      <c r="A254" s="99" t="inlineStr">
        <is>
          <t>INV00253</t>
        </is>
      </c>
      <c r="B254" s="99" t="inlineStr">
        <is>
          <t>OUT006</t>
        </is>
      </c>
      <c r="C254" s="99">
        <f>INDEX(Lookup!$B$2:$B$11,MATCH(B254,Lookup!$A$2:$A$11,0))</f>
        <v/>
      </c>
      <c r="D254" s="99" t="inlineStr">
        <is>
          <t>BP003</t>
        </is>
      </c>
      <c r="E254" s="99">
        <f>INDEX(Lookup!$E$2:$E$51,MATCH(D254,Lookup!$D$2:$D$51,0))</f>
        <v/>
      </c>
      <c r="F254" s="99">
        <f>INDEX(Lookup!$F$2:$F$51,MATCH(D254,Lookup!$D$2:$D$51,0))</f>
        <v/>
      </c>
      <c r="G254" s="100" t="n">
        <v>69</v>
      </c>
      <c r="H254" s="100" t="n">
        <v>78</v>
      </c>
      <c r="I254" s="100" t="n">
        <v>61</v>
      </c>
      <c r="J254" s="100" t="n">
        <v>2</v>
      </c>
      <c r="K254" s="100" t="n">
        <v>21</v>
      </c>
      <c r="L254" s="100" t="n">
        <v>1</v>
      </c>
      <c r="M254" s="100" t="n">
        <v>84</v>
      </c>
      <c r="N254" s="99" t="inlineStr">
        <is>
          <t>Healthy</t>
        </is>
      </c>
      <c r="O254" s="100">
        <f>G254+H254</f>
        <v/>
      </c>
      <c r="P254" s="100">
        <f>G254+H254-I254-J254</f>
        <v/>
      </c>
      <c r="Q254" s="100">
        <f>MAX(0,P254)</f>
        <v/>
      </c>
      <c r="R254" s="100">
        <f>MAX(0,-P254)</f>
        <v/>
      </c>
      <c r="S254" s="101">
        <f>IFERROR(J254/O254,0)</f>
        <v/>
      </c>
      <c r="T254" s="101">
        <f>IFERROR(I254/O254,0)</f>
        <v/>
      </c>
      <c r="U254" s="102">
        <f>IF(P254&lt;=K254,"Reorder Required","Stock Sufficient")</f>
        <v/>
      </c>
      <c r="V254" s="102">
        <f>IF(AND(Q254=M254,(U254="Reorder Required")=(N254="Reorder Required")),"OK","Mismatch")</f>
        <v/>
      </c>
      <c r="W254" s="99" t="n"/>
    </row>
    <row r="255">
      <c r="A255" s="99" t="inlineStr">
        <is>
          <t>INV00254</t>
        </is>
      </c>
      <c r="B255" s="99" t="inlineStr">
        <is>
          <t>OUT006</t>
        </is>
      </c>
      <c r="C255" s="99">
        <f>INDEX(Lookup!$B$2:$B$11,MATCH(B255,Lookup!$A$2:$A$11,0))</f>
        <v/>
      </c>
      <c r="D255" s="99" t="inlineStr">
        <is>
          <t>BP004</t>
        </is>
      </c>
      <c r="E255" s="99">
        <f>INDEX(Lookup!$E$2:$E$51,MATCH(D255,Lookup!$D$2:$D$51,0))</f>
        <v/>
      </c>
      <c r="F255" s="99">
        <f>INDEX(Lookup!$F$2:$F$51,MATCH(D255,Lookup!$D$2:$D$51,0))</f>
        <v/>
      </c>
      <c r="G255" s="100" t="n">
        <v>134</v>
      </c>
      <c r="H255" s="100" t="n">
        <v>55</v>
      </c>
      <c r="I255" s="100" t="n">
        <v>51</v>
      </c>
      <c r="J255" s="100" t="n">
        <v>1</v>
      </c>
      <c r="K255" s="100" t="n">
        <v>28</v>
      </c>
      <c r="L255" s="100" t="n">
        <v>2</v>
      </c>
      <c r="M255" s="100" t="n">
        <v>137</v>
      </c>
      <c r="N255" s="99" t="inlineStr">
        <is>
          <t>Healthy</t>
        </is>
      </c>
      <c r="O255" s="100">
        <f>G255+H255</f>
        <v/>
      </c>
      <c r="P255" s="100">
        <f>G255+H255-I255-J255</f>
        <v/>
      </c>
      <c r="Q255" s="100">
        <f>MAX(0,P255)</f>
        <v/>
      </c>
      <c r="R255" s="100">
        <f>MAX(0,-P255)</f>
        <v/>
      </c>
      <c r="S255" s="101">
        <f>IFERROR(J255/O255,0)</f>
        <v/>
      </c>
      <c r="T255" s="101">
        <f>IFERROR(I255/O255,0)</f>
        <v/>
      </c>
      <c r="U255" s="102">
        <f>IF(P255&lt;=K255,"Reorder Required","Stock Sufficient")</f>
        <v/>
      </c>
      <c r="V255" s="102">
        <f>IF(AND(Q255=M255,(U255="Reorder Required")=(N255="Reorder Required")),"OK","Mismatch")</f>
        <v/>
      </c>
      <c r="W255" s="99" t="n"/>
    </row>
    <row r="256">
      <c r="A256" s="99" t="inlineStr">
        <is>
          <t>INV00255</t>
        </is>
      </c>
      <c r="B256" s="99" t="inlineStr">
        <is>
          <t>OUT006</t>
        </is>
      </c>
      <c r="C256" s="99">
        <f>INDEX(Lookup!$B$2:$B$11,MATCH(B256,Lookup!$A$2:$A$11,0))</f>
        <v/>
      </c>
      <c r="D256" s="99" t="inlineStr">
        <is>
          <t>BP005</t>
        </is>
      </c>
      <c r="E256" s="99">
        <f>INDEX(Lookup!$E$2:$E$51,MATCH(D256,Lookup!$D$2:$D$51,0))</f>
        <v/>
      </c>
      <c r="F256" s="99">
        <f>INDEX(Lookup!$F$2:$F$51,MATCH(D256,Lookup!$D$2:$D$51,0))</f>
        <v/>
      </c>
      <c r="G256" s="100" t="n">
        <v>147</v>
      </c>
      <c r="H256" s="100" t="n">
        <v>39</v>
      </c>
      <c r="I256" s="100" t="n">
        <v>63</v>
      </c>
      <c r="J256" s="100" t="n">
        <v>3</v>
      </c>
      <c r="K256" s="100" t="n">
        <v>21</v>
      </c>
      <c r="L256" s="100" t="n">
        <v>4</v>
      </c>
      <c r="M256" s="100" t="n">
        <v>120</v>
      </c>
      <c r="N256" s="99" t="inlineStr">
        <is>
          <t>Healthy</t>
        </is>
      </c>
      <c r="O256" s="100">
        <f>G256+H256</f>
        <v/>
      </c>
      <c r="P256" s="100">
        <f>G256+H256-I256-J256</f>
        <v/>
      </c>
      <c r="Q256" s="100">
        <f>MAX(0,P256)</f>
        <v/>
      </c>
      <c r="R256" s="100">
        <f>MAX(0,-P256)</f>
        <v/>
      </c>
      <c r="S256" s="101">
        <f>IFERROR(J256/O256,0)</f>
        <v/>
      </c>
      <c r="T256" s="101">
        <f>IFERROR(I256/O256,0)</f>
        <v/>
      </c>
      <c r="U256" s="102">
        <f>IF(P256&lt;=K256,"Reorder Required","Stock Sufficient")</f>
        <v/>
      </c>
      <c r="V256" s="102">
        <f>IF(AND(Q256=M256,(U256="Reorder Required")=(N256="Reorder Required")),"OK","Mismatch")</f>
        <v/>
      </c>
      <c r="W256" s="99" t="n"/>
    </row>
    <row r="257">
      <c r="A257" s="99" t="inlineStr">
        <is>
          <t>INV00256</t>
        </is>
      </c>
      <c r="B257" s="99" t="inlineStr">
        <is>
          <t>OUT006</t>
        </is>
      </c>
      <c r="C257" s="99">
        <f>INDEX(Lookup!$B$2:$B$11,MATCH(B257,Lookup!$A$2:$A$11,0))</f>
        <v/>
      </c>
      <c r="D257" s="99" t="inlineStr">
        <is>
          <t>BP006</t>
        </is>
      </c>
      <c r="E257" s="99">
        <f>INDEX(Lookup!$E$2:$E$51,MATCH(D257,Lookup!$D$2:$D$51,0))</f>
        <v/>
      </c>
      <c r="F257" s="99">
        <f>INDEX(Lookup!$F$2:$F$51,MATCH(D257,Lookup!$D$2:$D$51,0))</f>
        <v/>
      </c>
      <c r="G257" s="100" t="n">
        <v>128</v>
      </c>
      <c r="H257" s="100" t="n">
        <v>85</v>
      </c>
      <c r="I257" s="100" t="n">
        <v>69</v>
      </c>
      <c r="J257" s="100" t="n">
        <v>0</v>
      </c>
      <c r="K257" s="100" t="n">
        <v>34</v>
      </c>
      <c r="L257" s="100" t="n">
        <v>1</v>
      </c>
      <c r="M257" s="100" t="n">
        <v>144</v>
      </c>
      <c r="N257" s="99" t="inlineStr">
        <is>
          <t>Healthy</t>
        </is>
      </c>
      <c r="O257" s="100">
        <f>G257+H257</f>
        <v/>
      </c>
      <c r="P257" s="100">
        <f>G257+H257-I257-J257</f>
        <v/>
      </c>
      <c r="Q257" s="100">
        <f>MAX(0,P257)</f>
        <v/>
      </c>
      <c r="R257" s="100">
        <f>MAX(0,-P257)</f>
        <v/>
      </c>
      <c r="S257" s="101">
        <f>IFERROR(J257/O257,0)</f>
        <v/>
      </c>
      <c r="T257" s="101">
        <f>IFERROR(I257/O257,0)</f>
        <v/>
      </c>
      <c r="U257" s="102">
        <f>IF(P257&lt;=K257,"Reorder Required","Stock Sufficient")</f>
        <v/>
      </c>
      <c r="V257" s="102">
        <f>IF(AND(Q257=M257,(U257="Reorder Required")=(N257="Reorder Required")),"OK","Mismatch")</f>
        <v/>
      </c>
      <c r="W257" s="99" t="n"/>
    </row>
    <row r="258">
      <c r="A258" s="99" t="inlineStr">
        <is>
          <t>INV00257</t>
        </is>
      </c>
      <c r="B258" s="99" t="inlineStr">
        <is>
          <t>OUT006</t>
        </is>
      </c>
      <c r="C258" s="99">
        <f>INDEX(Lookup!$B$2:$B$11,MATCH(B258,Lookup!$A$2:$A$11,0))</f>
        <v/>
      </c>
      <c r="D258" s="99" t="inlineStr">
        <is>
          <t>BP007</t>
        </is>
      </c>
      <c r="E258" s="99">
        <f>INDEX(Lookup!$E$2:$E$51,MATCH(D258,Lookup!$D$2:$D$51,0))</f>
        <v/>
      </c>
      <c r="F258" s="99">
        <f>INDEX(Lookup!$F$2:$F$51,MATCH(D258,Lookup!$D$2:$D$51,0))</f>
        <v/>
      </c>
      <c r="G258" s="100" t="n">
        <v>101</v>
      </c>
      <c r="H258" s="100" t="n">
        <v>87</v>
      </c>
      <c r="I258" s="100" t="n">
        <v>131</v>
      </c>
      <c r="J258" s="100" t="n">
        <v>2</v>
      </c>
      <c r="K258" s="100" t="n">
        <v>25</v>
      </c>
      <c r="L258" s="100" t="n">
        <v>5</v>
      </c>
      <c r="M258" s="100" t="n">
        <v>55</v>
      </c>
      <c r="N258" s="99" t="inlineStr">
        <is>
          <t>Healthy</t>
        </is>
      </c>
      <c r="O258" s="100">
        <f>G258+H258</f>
        <v/>
      </c>
      <c r="P258" s="100">
        <f>G258+H258-I258-J258</f>
        <v/>
      </c>
      <c r="Q258" s="100">
        <f>MAX(0,P258)</f>
        <v/>
      </c>
      <c r="R258" s="100">
        <f>MAX(0,-P258)</f>
        <v/>
      </c>
      <c r="S258" s="101">
        <f>IFERROR(J258/O258,0)</f>
        <v/>
      </c>
      <c r="T258" s="101">
        <f>IFERROR(I258/O258,0)</f>
        <v/>
      </c>
      <c r="U258" s="102">
        <f>IF(P258&lt;=K258,"Reorder Required","Stock Sufficient")</f>
        <v/>
      </c>
      <c r="V258" s="102">
        <f>IF(AND(Q258=M258,(U258="Reorder Required")=(N258="Reorder Required")),"OK","Mismatch")</f>
        <v/>
      </c>
      <c r="W258" s="99" t="n"/>
    </row>
    <row r="259">
      <c r="A259" s="99" t="inlineStr">
        <is>
          <t>INV00258</t>
        </is>
      </c>
      <c r="B259" s="99" t="inlineStr">
        <is>
          <t>OUT006</t>
        </is>
      </c>
      <c r="C259" s="99">
        <f>INDEX(Lookup!$B$2:$B$11,MATCH(B259,Lookup!$A$2:$A$11,0))</f>
        <v/>
      </c>
      <c r="D259" s="99" t="inlineStr">
        <is>
          <t>BP008</t>
        </is>
      </c>
      <c r="E259" s="99">
        <f>INDEX(Lookup!$E$2:$E$51,MATCH(D259,Lookup!$D$2:$D$51,0))</f>
        <v/>
      </c>
      <c r="F259" s="99">
        <f>INDEX(Lookup!$F$2:$F$51,MATCH(D259,Lookup!$D$2:$D$51,0))</f>
        <v/>
      </c>
      <c r="G259" s="100" t="n">
        <v>135</v>
      </c>
      <c r="H259" s="100" t="n">
        <v>51</v>
      </c>
      <c r="I259" s="100" t="n">
        <v>83</v>
      </c>
      <c r="J259" s="100" t="n">
        <v>1</v>
      </c>
      <c r="K259" s="100" t="n">
        <v>19</v>
      </c>
      <c r="L259" s="100" t="n">
        <v>5</v>
      </c>
      <c r="M259" s="100" t="n">
        <v>102</v>
      </c>
      <c r="N259" s="99" t="inlineStr">
        <is>
          <t>Healthy</t>
        </is>
      </c>
      <c r="O259" s="100">
        <f>G259+H259</f>
        <v/>
      </c>
      <c r="P259" s="100">
        <f>G259+H259-I259-J259</f>
        <v/>
      </c>
      <c r="Q259" s="100">
        <f>MAX(0,P259)</f>
        <v/>
      </c>
      <c r="R259" s="100">
        <f>MAX(0,-P259)</f>
        <v/>
      </c>
      <c r="S259" s="101">
        <f>IFERROR(J259/O259,0)</f>
        <v/>
      </c>
      <c r="T259" s="101">
        <f>IFERROR(I259/O259,0)</f>
        <v/>
      </c>
      <c r="U259" s="102">
        <f>IF(P259&lt;=K259,"Reorder Required","Stock Sufficient")</f>
        <v/>
      </c>
      <c r="V259" s="102">
        <f>IF(AND(Q259=M259,(U259="Reorder Required")=(N259="Reorder Required")),"OK","Mismatch")</f>
        <v/>
      </c>
      <c r="W259" s="99" t="n"/>
    </row>
    <row r="260">
      <c r="A260" s="99" t="inlineStr">
        <is>
          <t>INV00259</t>
        </is>
      </c>
      <c r="B260" s="99" t="inlineStr">
        <is>
          <t>OUT006</t>
        </is>
      </c>
      <c r="C260" s="99">
        <f>INDEX(Lookup!$B$2:$B$11,MATCH(B260,Lookup!$A$2:$A$11,0))</f>
        <v/>
      </c>
      <c r="D260" s="99" t="inlineStr">
        <is>
          <t>BP009</t>
        </is>
      </c>
      <c r="E260" s="99">
        <f>INDEX(Lookup!$E$2:$E$51,MATCH(D260,Lookup!$D$2:$D$51,0))</f>
        <v/>
      </c>
      <c r="F260" s="99">
        <f>INDEX(Lookup!$F$2:$F$51,MATCH(D260,Lookup!$D$2:$D$51,0))</f>
        <v/>
      </c>
      <c r="G260" s="100" t="n">
        <v>144</v>
      </c>
      <c r="H260" s="100" t="n">
        <v>86</v>
      </c>
      <c r="I260" s="100" t="n">
        <v>133</v>
      </c>
      <c r="J260" s="100" t="n">
        <v>3</v>
      </c>
      <c r="K260" s="100" t="n">
        <v>16</v>
      </c>
      <c r="L260" s="100" t="n">
        <v>3</v>
      </c>
      <c r="M260" s="100" t="n">
        <v>94</v>
      </c>
      <c r="N260" s="99" t="inlineStr">
        <is>
          <t>Healthy</t>
        </is>
      </c>
      <c r="O260" s="100">
        <f>G260+H260</f>
        <v/>
      </c>
      <c r="P260" s="100">
        <f>G260+H260-I260-J260</f>
        <v/>
      </c>
      <c r="Q260" s="100">
        <f>MAX(0,P260)</f>
        <v/>
      </c>
      <c r="R260" s="100">
        <f>MAX(0,-P260)</f>
        <v/>
      </c>
      <c r="S260" s="101">
        <f>IFERROR(J260/O260,0)</f>
        <v/>
      </c>
      <c r="T260" s="101">
        <f>IFERROR(I260/O260,0)</f>
        <v/>
      </c>
      <c r="U260" s="102">
        <f>IF(P260&lt;=K260,"Reorder Required","Stock Sufficient")</f>
        <v/>
      </c>
      <c r="V260" s="102">
        <f>IF(AND(Q260=M260,(U260="Reorder Required")=(N260="Reorder Required")),"OK","Mismatch")</f>
        <v/>
      </c>
      <c r="W260" s="99" t="n"/>
    </row>
    <row r="261">
      <c r="A261" s="99" t="inlineStr">
        <is>
          <t>INV00260</t>
        </is>
      </c>
      <c r="B261" s="99" t="inlineStr">
        <is>
          <t>OUT006</t>
        </is>
      </c>
      <c r="C261" s="99">
        <f>INDEX(Lookup!$B$2:$B$11,MATCH(B261,Lookup!$A$2:$A$11,0))</f>
        <v/>
      </c>
      <c r="D261" s="99" t="inlineStr">
        <is>
          <t>BP010</t>
        </is>
      </c>
      <c r="E261" s="99">
        <f>INDEX(Lookup!$E$2:$E$51,MATCH(D261,Lookup!$D$2:$D$51,0))</f>
        <v/>
      </c>
      <c r="F261" s="99">
        <f>INDEX(Lookup!$F$2:$F$51,MATCH(D261,Lookup!$D$2:$D$51,0))</f>
        <v/>
      </c>
      <c r="G261" s="100" t="n">
        <v>48</v>
      </c>
      <c r="H261" s="100" t="n">
        <v>21</v>
      </c>
      <c r="I261" s="100" t="n">
        <v>73</v>
      </c>
      <c r="J261" s="100" t="n">
        <v>2</v>
      </c>
      <c r="K261" s="100" t="n">
        <v>36</v>
      </c>
      <c r="L261" s="100" t="n">
        <v>3</v>
      </c>
      <c r="M261" s="100" t="n">
        <v>0</v>
      </c>
      <c r="N261" s="99" t="inlineStr">
        <is>
          <t>Reorder Required</t>
        </is>
      </c>
      <c r="O261" s="100">
        <f>G261+H261</f>
        <v/>
      </c>
      <c r="P261" s="100">
        <f>G261+H261-I261-J261</f>
        <v/>
      </c>
      <c r="Q261" s="100">
        <f>MAX(0,P261)</f>
        <v/>
      </c>
      <c r="R261" s="100">
        <f>MAX(0,-P261)</f>
        <v/>
      </c>
      <c r="S261" s="101">
        <f>IFERROR(J261/O261,0)</f>
        <v/>
      </c>
      <c r="T261" s="101">
        <f>IFERROR(I261/O261,0)</f>
        <v/>
      </c>
      <c r="U261" s="102">
        <f>IF(P261&lt;=K261,"Reorder Required","Stock Sufficient")</f>
        <v/>
      </c>
      <c r="V261" s="102">
        <f>IF(AND(Q261=M261,(U261="Reorder Required")=(N261="Reorder Required")),"OK","Mismatch")</f>
        <v/>
      </c>
      <c r="W261" s="99" t="inlineStr">
        <is>
          <t>Restock immediately</t>
        </is>
      </c>
    </row>
    <row r="262">
      <c r="A262" s="99" t="inlineStr">
        <is>
          <t>INV00261</t>
        </is>
      </c>
      <c r="B262" s="99" t="inlineStr">
        <is>
          <t>OUT006</t>
        </is>
      </c>
      <c r="C262" s="99">
        <f>INDEX(Lookup!$B$2:$B$11,MATCH(B262,Lookup!$A$2:$A$11,0))</f>
        <v/>
      </c>
      <c r="D262" s="99" t="inlineStr">
        <is>
          <t>BP011</t>
        </is>
      </c>
      <c r="E262" s="99">
        <f>INDEX(Lookup!$E$2:$E$51,MATCH(D262,Lookup!$D$2:$D$51,0))</f>
        <v/>
      </c>
      <c r="F262" s="99">
        <f>INDEX(Lookup!$F$2:$F$51,MATCH(D262,Lookup!$D$2:$D$51,0))</f>
        <v/>
      </c>
      <c r="G262" s="100" t="n">
        <v>72</v>
      </c>
      <c r="H262" s="100" t="n">
        <v>53</v>
      </c>
      <c r="I262" s="100" t="n">
        <v>95</v>
      </c>
      <c r="J262" s="100" t="n">
        <v>1</v>
      </c>
      <c r="K262" s="100" t="n">
        <v>39</v>
      </c>
      <c r="L262" s="100" t="n">
        <v>5</v>
      </c>
      <c r="M262" s="100" t="n">
        <v>29</v>
      </c>
      <c r="N262" s="99" t="inlineStr">
        <is>
          <t>Reorder Required</t>
        </is>
      </c>
      <c r="O262" s="100">
        <f>G262+H262</f>
        <v/>
      </c>
      <c r="P262" s="100">
        <f>G262+H262-I262-J262</f>
        <v/>
      </c>
      <c r="Q262" s="100">
        <f>MAX(0,P262)</f>
        <v/>
      </c>
      <c r="R262" s="100">
        <f>MAX(0,-P262)</f>
        <v/>
      </c>
      <c r="S262" s="101">
        <f>IFERROR(J262/O262,0)</f>
        <v/>
      </c>
      <c r="T262" s="101">
        <f>IFERROR(I262/O262,0)</f>
        <v/>
      </c>
      <c r="U262" s="102">
        <f>IF(P262&lt;=K262,"Reorder Required","Stock Sufficient")</f>
        <v/>
      </c>
      <c r="V262" s="102">
        <f>IF(AND(Q262=M262,(U262="Reorder Required")=(N262="Reorder Required")),"OK","Mismatch")</f>
        <v/>
      </c>
      <c r="W262" s="99" t="inlineStr">
        <is>
          <t>Restock immediately</t>
        </is>
      </c>
    </row>
    <row r="263">
      <c r="A263" s="99" t="inlineStr">
        <is>
          <t>INV00262</t>
        </is>
      </c>
      <c r="B263" s="99" t="inlineStr">
        <is>
          <t>OUT006</t>
        </is>
      </c>
      <c r="C263" s="99">
        <f>INDEX(Lookup!$B$2:$B$11,MATCH(B263,Lookup!$A$2:$A$11,0))</f>
        <v/>
      </c>
      <c r="D263" s="99" t="inlineStr">
        <is>
          <t>BP012</t>
        </is>
      </c>
      <c r="E263" s="99">
        <f>INDEX(Lookup!$E$2:$E$51,MATCH(D263,Lookup!$D$2:$D$51,0))</f>
        <v/>
      </c>
      <c r="F263" s="99">
        <f>INDEX(Lookup!$F$2:$F$51,MATCH(D263,Lookup!$D$2:$D$51,0))</f>
        <v/>
      </c>
      <c r="G263" s="100" t="n">
        <v>137</v>
      </c>
      <c r="H263" s="100" t="n">
        <v>78</v>
      </c>
      <c r="I263" s="100" t="n">
        <v>64</v>
      </c>
      <c r="J263" s="100" t="n">
        <v>0</v>
      </c>
      <c r="K263" s="100" t="n">
        <v>28</v>
      </c>
      <c r="L263" s="100" t="n">
        <v>5</v>
      </c>
      <c r="M263" s="100" t="n">
        <v>151</v>
      </c>
      <c r="N263" s="99" t="inlineStr">
        <is>
          <t>Healthy</t>
        </is>
      </c>
      <c r="O263" s="100">
        <f>G263+H263</f>
        <v/>
      </c>
      <c r="P263" s="100">
        <f>G263+H263-I263-J263</f>
        <v/>
      </c>
      <c r="Q263" s="100">
        <f>MAX(0,P263)</f>
        <v/>
      </c>
      <c r="R263" s="100">
        <f>MAX(0,-P263)</f>
        <v/>
      </c>
      <c r="S263" s="101">
        <f>IFERROR(J263/O263,0)</f>
        <v/>
      </c>
      <c r="T263" s="101">
        <f>IFERROR(I263/O263,0)</f>
        <v/>
      </c>
      <c r="U263" s="102">
        <f>IF(P263&lt;=K263,"Reorder Required","Stock Sufficient")</f>
        <v/>
      </c>
      <c r="V263" s="102">
        <f>IF(AND(Q263=M263,(U263="Reorder Required")=(N263="Reorder Required")),"OK","Mismatch")</f>
        <v/>
      </c>
      <c r="W263" s="99" t="n"/>
    </row>
    <row r="264">
      <c r="A264" s="99" t="inlineStr">
        <is>
          <t>INV00263</t>
        </is>
      </c>
      <c r="B264" s="99" t="inlineStr">
        <is>
          <t>OUT006</t>
        </is>
      </c>
      <c r="C264" s="99">
        <f>INDEX(Lookup!$B$2:$B$11,MATCH(B264,Lookup!$A$2:$A$11,0))</f>
        <v/>
      </c>
      <c r="D264" s="99" t="inlineStr">
        <is>
          <t>BP013</t>
        </is>
      </c>
      <c r="E264" s="99">
        <f>INDEX(Lookup!$E$2:$E$51,MATCH(D264,Lookup!$D$2:$D$51,0))</f>
        <v/>
      </c>
      <c r="F264" s="99">
        <f>INDEX(Lookup!$F$2:$F$51,MATCH(D264,Lookup!$D$2:$D$51,0))</f>
        <v/>
      </c>
      <c r="G264" s="100" t="n">
        <v>136</v>
      </c>
      <c r="H264" s="100" t="n">
        <v>27</v>
      </c>
      <c r="I264" s="100" t="n">
        <v>57</v>
      </c>
      <c r="J264" s="100" t="n">
        <v>1</v>
      </c>
      <c r="K264" s="100" t="n">
        <v>15</v>
      </c>
      <c r="L264" s="100" t="n">
        <v>5</v>
      </c>
      <c r="M264" s="100" t="n">
        <v>105</v>
      </c>
      <c r="N264" s="99" t="inlineStr">
        <is>
          <t>Healthy</t>
        </is>
      </c>
      <c r="O264" s="100">
        <f>G264+H264</f>
        <v/>
      </c>
      <c r="P264" s="100">
        <f>G264+H264-I264-J264</f>
        <v/>
      </c>
      <c r="Q264" s="100">
        <f>MAX(0,P264)</f>
        <v/>
      </c>
      <c r="R264" s="100">
        <f>MAX(0,-P264)</f>
        <v/>
      </c>
      <c r="S264" s="101">
        <f>IFERROR(J264/O264,0)</f>
        <v/>
      </c>
      <c r="T264" s="101">
        <f>IFERROR(I264/O264,0)</f>
        <v/>
      </c>
      <c r="U264" s="102">
        <f>IF(P264&lt;=K264,"Reorder Required","Stock Sufficient")</f>
        <v/>
      </c>
      <c r="V264" s="102">
        <f>IF(AND(Q264=M264,(U264="Reorder Required")=(N264="Reorder Required")),"OK","Mismatch")</f>
        <v/>
      </c>
      <c r="W264" s="99" t="n"/>
    </row>
    <row r="265">
      <c r="A265" s="99" t="inlineStr">
        <is>
          <t>INV00264</t>
        </is>
      </c>
      <c r="B265" s="99" t="inlineStr">
        <is>
          <t>OUT006</t>
        </is>
      </c>
      <c r="C265" s="99">
        <f>INDEX(Lookup!$B$2:$B$11,MATCH(B265,Lookup!$A$2:$A$11,0))</f>
        <v/>
      </c>
      <c r="D265" s="99" t="inlineStr">
        <is>
          <t>BP014</t>
        </is>
      </c>
      <c r="E265" s="99">
        <f>INDEX(Lookup!$E$2:$E$51,MATCH(D265,Lookup!$D$2:$D$51,0))</f>
        <v/>
      </c>
      <c r="F265" s="99">
        <f>INDEX(Lookup!$F$2:$F$51,MATCH(D265,Lookup!$D$2:$D$51,0))</f>
        <v/>
      </c>
      <c r="G265" s="100" t="n">
        <v>70</v>
      </c>
      <c r="H265" s="100" t="n">
        <v>40</v>
      </c>
      <c r="I265" s="100" t="n">
        <v>104</v>
      </c>
      <c r="J265" s="100" t="n">
        <v>2</v>
      </c>
      <c r="K265" s="100" t="n">
        <v>32</v>
      </c>
      <c r="L265" s="100" t="n">
        <v>3</v>
      </c>
      <c r="M265" s="100" t="n">
        <v>4</v>
      </c>
      <c r="N265" s="99" t="inlineStr">
        <is>
          <t>Reorder Required</t>
        </is>
      </c>
      <c r="O265" s="100">
        <f>G265+H265</f>
        <v/>
      </c>
      <c r="P265" s="100">
        <f>G265+H265-I265-J265</f>
        <v/>
      </c>
      <c r="Q265" s="100">
        <f>MAX(0,P265)</f>
        <v/>
      </c>
      <c r="R265" s="100">
        <f>MAX(0,-P265)</f>
        <v/>
      </c>
      <c r="S265" s="101">
        <f>IFERROR(J265/O265,0)</f>
        <v/>
      </c>
      <c r="T265" s="101">
        <f>IFERROR(I265/O265,0)</f>
        <v/>
      </c>
      <c r="U265" s="102">
        <f>IF(P265&lt;=K265,"Reorder Required","Stock Sufficient")</f>
        <v/>
      </c>
      <c r="V265" s="102">
        <f>IF(AND(Q265=M265,(U265="Reorder Required")=(N265="Reorder Required")),"OK","Mismatch")</f>
        <v/>
      </c>
      <c r="W265" s="99" t="inlineStr">
        <is>
          <t>Restock immediately</t>
        </is>
      </c>
    </row>
    <row r="266">
      <c r="A266" s="99" t="inlineStr">
        <is>
          <t>INV00265</t>
        </is>
      </c>
      <c r="B266" s="99" t="inlineStr">
        <is>
          <t>OUT006</t>
        </is>
      </c>
      <c r="C266" s="99">
        <f>INDEX(Lookup!$B$2:$B$11,MATCH(B266,Lookup!$A$2:$A$11,0))</f>
        <v/>
      </c>
      <c r="D266" s="99" t="inlineStr">
        <is>
          <t>BP015</t>
        </is>
      </c>
      <c r="E266" s="99">
        <f>INDEX(Lookup!$E$2:$E$51,MATCH(D266,Lookup!$D$2:$D$51,0))</f>
        <v/>
      </c>
      <c r="F266" s="99">
        <f>INDEX(Lookup!$F$2:$F$51,MATCH(D266,Lookup!$D$2:$D$51,0))</f>
        <v/>
      </c>
      <c r="G266" s="100" t="n">
        <v>64</v>
      </c>
      <c r="H266" s="100" t="n">
        <v>67</v>
      </c>
      <c r="I266" s="100" t="n">
        <v>65</v>
      </c>
      <c r="J266" s="100" t="n">
        <v>1</v>
      </c>
      <c r="K266" s="100" t="n">
        <v>16</v>
      </c>
      <c r="L266" s="100" t="n">
        <v>2</v>
      </c>
      <c r="M266" s="100" t="n">
        <v>65</v>
      </c>
      <c r="N266" s="99" t="inlineStr">
        <is>
          <t>Healthy</t>
        </is>
      </c>
      <c r="O266" s="100">
        <f>G266+H266</f>
        <v/>
      </c>
      <c r="P266" s="100">
        <f>G266+H266-I266-J266</f>
        <v/>
      </c>
      <c r="Q266" s="100">
        <f>MAX(0,P266)</f>
        <v/>
      </c>
      <c r="R266" s="100">
        <f>MAX(0,-P266)</f>
        <v/>
      </c>
      <c r="S266" s="101">
        <f>IFERROR(J266/O266,0)</f>
        <v/>
      </c>
      <c r="T266" s="101">
        <f>IFERROR(I266/O266,0)</f>
        <v/>
      </c>
      <c r="U266" s="102">
        <f>IF(P266&lt;=K266,"Reorder Required","Stock Sufficient")</f>
        <v/>
      </c>
      <c r="V266" s="102">
        <f>IF(AND(Q266=M266,(U266="Reorder Required")=(N266="Reorder Required")),"OK","Mismatch")</f>
        <v/>
      </c>
      <c r="W266" s="99" t="n"/>
    </row>
    <row r="267">
      <c r="A267" s="99" t="inlineStr">
        <is>
          <t>INV00266</t>
        </is>
      </c>
      <c r="B267" s="99" t="inlineStr">
        <is>
          <t>OUT006</t>
        </is>
      </c>
      <c r="C267" s="99">
        <f>INDEX(Lookup!$B$2:$B$11,MATCH(B267,Lookup!$A$2:$A$11,0))</f>
        <v/>
      </c>
      <c r="D267" s="99" t="inlineStr">
        <is>
          <t>BP016</t>
        </is>
      </c>
      <c r="E267" s="99">
        <f>INDEX(Lookup!$E$2:$E$51,MATCH(D267,Lookup!$D$2:$D$51,0))</f>
        <v/>
      </c>
      <c r="F267" s="99">
        <f>INDEX(Lookup!$F$2:$F$51,MATCH(D267,Lookup!$D$2:$D$51,0))</f>
        <v/>
      </c>
      <c r="G267" s="100" t="n">
        <v>138</v>
      </c>
      <c r="H267" s="100" t="n">
        <v>86</v>
      </c>
      <c r="I267" s="100" t="n">
        <v>118</v>
      </c>
      <c r="J267" s="100" t="n">
        <v>1</v>
      </c>
      <c r="K267" s="100" t="n">
        <v>17</v>
      </c>
      <c r="L267" s="100" t="n">
        <v>3</v>
      </c>
      <c r="M267" s="100" t="n">
        <v>105</v>
      </c>
      <c r="N267" s="99" t="inlineStr">
        <is>
          <t>Healthy</t>
        </is>
      </c>
      <c r="O267" s="100">
        <f>G267+H267</f>
        <v/>
      </c>
      <c r="P267" s="100">
        <f>G267+H267-I267-J267</f>
        <v/>
      </c>
      <c r="Q267" s="100">
        <f>MAX(0,P267)</f>
        <v/>
      </c>
      <c r="R267" s="100">
        <f>MAX(0,-P267)</f>
        <v/>
      </c>
      <c r="S267" s="101">
        <f>IFERROR(J267/O267,0)</f>
        <v/>
      </c>
      <c r="T267" s="101">
        <f>IFERROR(I267/O267,0)</f>
        <v/>
      </c>
      <c r="U267" s="102">
        <f>IF(P267&lt;=K267,"Reorder Required","Stock Sufficient")</f>
        <v/>
      </c>
      <c r="V267" s="102">
        <f>IF(AND(Q267=M267,(U267="Reorder Required")=(N267="Reorder Required")),"OK","Mismatch")</f>
        <v/>
      </c>
      <c r="W267" s="99" t="n"/>
    </row>
    <row r="268">
      <c r="A268" s="99" t="inlineStr">
        <is>
          <t>INV00267</t>
        </is>
      </c>
      <c r="B268" s="99" t="inlineStr">
        <is>
          <t>OUT006</t>
        </is>
      </c>
      <c r="C268" s="99">
        <f>INDEX(Lookup!$B$2:$B$11,MATCH(B268,Lookup!$A$2:$A$11,0))</f>
        <v/>
      </c>
      <c r="D268" s="99" t="inlineStr">
        <is>
          <t>BP017</t>
        </is>
      </c>
      <c r="E268" s="99">
        <f>INDEX(Lookup!$E$2:$E$51,MATCH(D268,Lookup!$D$2:$D$51,0))</f>
        <v/>
      </c>
      <c r="F268" s="99">
        <f>INDEX(Lookup!$F$2:$F$51,MATCH(D268,Lookup!$D$2:$D$51,0))</f>
        <v/>
      </c>
      <c r="G268" s="100" t="n">
        <v>108</v>
      </c>
      <c r="H268" s="100" t="n">
        <v>79</v>
      </c>
      <c r="I268" s="100" t="n">
        <v>68</v>
      </c>
      <c r="J268" s="100" t="n">
        <v>2</v>
      </c>
      <c r="K268" s="100" t="n">
        <v>33</v>
      </c>
      <c r="L268" s="100" t="n">
        <v>2</v>
      </c>
      <c r="M268" s="100" t="n">
        <v>117</v>
      </c>
      <c r="N268" s="99" t="inlineStr">
        <is>
          <t>Healthy</t>
        </is>
      </c>
      <c r="O268" s="100">
        <f>G268+H268</f>
        <v/>
      </c>
      <c r="P268" s="100">
        <f>G268+H268-I268-J268</f>
        <v/>
      </c>
      <c r="Q268" s="100">
        <f>MAX(0,P268)</f>
        <v/>
      </c>
      <c r="R268" s="100">
        <f>MAX(0,-P268)</f>
        <v/>
      </c>
      <c r="S268" s="101">
        <f>IFERROR(J268/O268,0)</f>
        <v/>
      </c>
      <c r="T268" s="101">
        <f>IFERROR(I268/O268,0)</f>
        <v/>
      </c>
      <c r="U268" s="102">
        <f>IF(P268&lt;=K268,"Reorder Required","Stock Sufficient")</f>
        <v/>
      </c>
      <c r="V268" s="102">
        <f>IF(AND(Q268=M268,(U268="Reorder Required")=(N268="Reorder Required")),"OK","Mismatch")</f>
        <v/>
      </c>
      <c r="W268" s="99" t="n"/>
    </row>
    <row r="269">
      <c r="A269" s="99" t="inlineStr">
        <is>
          <t>INV00268</t>
        </is>
      </c>
      <c r="B269" s="99" t="inlineStr">
        <is>
          <t>OUT006</t>
        </is>
      </c>
      <c r="C269" s="99">
        <f>INDEX(Lookup!$B$2:$B$11,MATCH(B269,Lookup!$A$2:$A$11,0))</f>
        <v/>
      </c>
      <c r="D269" s="99" t="inlineStr">
        <is>
          <t>BP018</t>
        </is>
      </c>
      <c r="E269" s="99">
        <f>INDEX(Lookup!$E$2:$E$51,MATCH(D269,Lookup!$D$2:$D$51,0))</f>
        <v/>
      </c>
      <c r="F269" s="99">
        <f>INDEX(Lookup!$F$2:$F$51,MATCH(D269,Lookup!$D$2:$D$51,0))</f>
        <v/>
      </c>
      <c r="G269" s="100" t="n">
        <v>105</v>
      </c>
      <c r="H269" s="100" t="n">
        <v>56</v>
      </c>
      <c r="I269" s="100" t="n">
        <v>94</v>
      </c>
      <c r="J269" s="100" t="n">
        <v>3</v>
      </c>
      <c r="K269" s="100" t="n">
        <v>37</v>
      </c>
      <c r="L269" s="100" t="n">
        <v>4</v>
      </c>
      <c r="M269" s="100" t="n">
        <v>64</v>
      </c>
      <c r="N269" s="99" t="inlineStr">
        <is>
          <t>Healthy</t>
        </is>
      </c>
      <c r="O269" s="100">
        <f>G269+H269</f>
        <v/>
      </c>
      <c r="P269" s="100">
        <f>G269+H269-I269-J269</f>
        <v/>
      </c>
      <c r="Q269" s="100">
        <f>MAX(0,P269)</f>
        <v/>
      </c>
      <c r="R269" s="100">
        <f>MAX(0,-P269)</f>
        <v/>
      </c>
      <c r="S269" s="101">
        <f>IFERROR(J269/O269,0)</f>
        <v/>
      </c>
      <c r="T269" s="101">
        <f>IFERROR(I269/O269,0)</f>
        <v/>
      </c>
      <c r="U269" s="102">
        <f>IF(P269&lt;=K269,"Reorder Required","Stock Sufficient")</f>
        <v/>
      </c>
      <c r="V269" s="102">
        <f>IF(AND(Q269=M269,(U269="Reorder Required")=(N269="Reorder Required")),"OK","Mismatch")</f>
        <v/>
      </c>
      <c r="W269" s="99" t="n"/>
    </row>
    <row r="270">
      <c r="A270" s="99" t="inlineStr">
        <is>
          <t>INV00269</t>
        </is>
      </c>
      <c r="B270" s="99" t="inlineStr">
        <is>
          <t>OUT006</t>
        </is>
      </c>
      <c r="C270" s="99">
        <f>INDEX(Lookup!$B$2:$B$11,MATCH(B270,Lookup!$A$2:$A$11,0))</f>
        <v/>
      </c>
      <c r="D270" s="99" t="inlineStr">
        <is>
          <t>BP019</t>
        </is>
      </c>
      <c r="E270" s="99">
        <f>INDEX(Lookup!$E$2:$E$51,MATCH(D270,Lookup!$D$2:$D$51,0))</f>
        <v/>
      </c>
      <c r="F270" s="99">
        <f>INDEX(Lookup!$F$2:$F$51,MATCH(D270,Lookup!$D$2:$D$51,0))</f>
        <v/>
      </c>
      <c r="G270" s="100" t="n">
        <v>131</v>
      </c>
      <c r="H270" s="100" t="n">
        <v>43</v>
      </c>
      <c r="I270" s="100" t="n">
        <v>99</v>
      </c>
      <c r="J270" s="100" t="n">
        <v>1</v>
      </c>
      <c r="K270" s="100" t="n">
        <v>17</v>
      </c>
      <c r="L270" s="100" t="n">
        <v>1</v>
      </c>
      <c r="M270" s="100" t="n">
        <v>74</v>
      </c>
      <c r="N270" s="99" t="inlineStr">
        <is>
          <t>Healthy</t>
        </is>
      </c>
      <c r="O270" s="100">
        <f>G270+H270</f>
        <v/>
      </c>
      <c r="P270" s="100">
        <f>G270+H270-I270-J270</f>
        <v/>
      </c>
      <c r="Q270" s="100">
        <f>MAX(0,P270)</f>
        <v/>
      </c>
      <c r="R270" s="100">
        <f>MAX(0,-P270)</f>
        <v/>
      </c>
      <c r="S270" s="101">
        <f>IFERROR(J270/O270,0)</f>
        <v/>
      </c>
      <c r="T270" s="101">
        <f>IFERROR(I270/O270,0)</f>
        <v/>
      </c>
      <c r="U270" s="102">
        <f>IF(P270&lt;=K270,"Reorder Required","Stock Sufficient")</f>
        <v/>
      </c>
      <c r="V270" s="102">
        <f>IF(AND(Q270=M270,(U270="Reorder Required")=(N270="Reorder Required")),"OK","Mismatch")</f>
        <v/>
      </c>
      <c r="W270" s="99" t="n"/>
    </row>
    <row r="271">
      <c r="A271" s="99" t="inlineStr">
        <is>
          <t>INV00270</t>
        </is>
      </c>
      <c r="B271" s="99" t="inlineStr">
        <is>
          <t>OUT006</t>
        </is>
      </c>
      <c r="C271" s="99">
        <f>INDEX(Lookup!$B$2:$B$11,MATCH(B271,Lookup!$A$2:$A$11,0))</f>
        <v/>
      </c>
      <c r="D271" s="99" t="inlineStr">
        <is>
          <t>BP020</t>
        </is>
      </c>
      <c r="E271" s="99">
        <f>INDEX(Lookup!$E$2:$E$51,MATCH(D271,Lookup!$D$2:$D$51,0))</f>
        <v/>
      </c>
      <c r="F271" s="99">
        <f>INDEX(Lookup!$F$2:$F$51,MATCH(D271,Lookup!$D$2:$D$51,0))</f>
        <v/>
      </c>
      <c r="G271" s="100" t="n">
        <v>99</v>
      </c>
      <c r="H271" s="100" t="n">
        <v>22</v>
      </c>
      <c r="I271" s="100" t="n">
        <v>136</v>
      </c>
      <c r="J271" s="100" t="n">
        <v>1</v>
      </c>
      <c r="K271" s="100" t="n">
        <v>19</v>
      </c>
      <c r="L271" s="100" t="n">
        <v>4</v>
      </c>
      <c r="M271" s="100" t="n">
        <v>0</v>
      </c>
      <c r="N271" s="99" t="inlineStr">
        <is>
          <t>Reorder Required</t>
        </is>
      </c>
      <c r="O271" s="100">
        <f>G271+H271</f>
        <v/>
      </c>
      <c r="P271" s="100">
        <f>G271+H271-I271-J271</f>
        <v/>
      </c>
      <c r="Q271" s="100">
        <f>MAX(0,P271)</f>
        <v/>
      </c>
      <c r="R271" s="100">
        <f>MAX(0,-P271)</f>
        <v/>
      </c>
      <c r="S271" s="101">
        <f>IFERROR(J271/O271,0)</f>
        <v/>
      </c>
      <c r="T271" s="101">
        <f>IFERROR(I271/O271,0)</f>
        <v/>
      </c>
      <c r="U271" s="102">
        <f>IF(P271&lt;=K271,"Reorder Required","Stock Sufficient")</f>
        <v/>
      </c>
      <c r="V271" s="102">
        <f>IF(AND(Q271=M271,(U271="Reorder Required")=(N271="Reorder Required")),"OK","Mismatch")</f>
        <v/>
      </c>
      <c r="W271" s="99" t="inlineStr">
        <is>
          <t>Restock immediately</t>
        </is>
      </c>
    </row>
    <row r="272">
      <c r="A272" s="99" t="inlineStr">
        <is>
          <t>INV00271</t>
        </is>
      </c>
      <c r="B272" s="99" t="inlineStr">
        <is>
          <t>OUT006</t>
        </is>
      </c>
      <c r="C272" s="99">
        <f>INDEX(Lookup!$B$2:$B$11,MATCH(B272,Lookup!$A$2:$A$11,0))</f>
        <v/>
      </c>
      <c r="D272" s="99" t="inlineStr">
        <is>
          <t>BP021</t>
        </is>
      </c>
      <c r="E272" s="99">
        <f>INDEX(Lookup!$E$2:$E$51,MATCH(D272,Lookup!$D$2:$D$51,0))</f>
        <v/>
      </c>
      <c r="F272" s="99">
        <f>INDEX(Lookup!$F$2:$F$51,MATCH(D272,Lookup!$D$2:$D$51,0))</f>
        <v/>
      </c>
      <c r="G272" s="100" t="n">
        <v>88</v>
      </c>
      <c r="H272" s="100" t="n">
        <v>46</v>
      </c>
      <c r="I272" s="100" t="n">
        <v>107</v>
      </c>
      <c r="J272" s="100" t="n">
        <v>3</v>
      </c>
      <c r="K272" s="100" t="n">
        <v>25</v>
      </c>
      <c r="L272" s="100" t="n">
        <v>3</v>
      </c>
      <c r="M272" s="100" t="n">
        <v>24</v>
      </c>
      <c r="N272" s="99" t="inlineStr">
        <is>
          <t>Reorder Required</t>
        </is>
      </c>
      <c r="O272" s="100">
        <f>G272+H272</f>
        <v/>
      </c>
      <c r="P272" s="100">
        <f>G272+H272-I272-J272</f>
        <v/>
      </c>
      <c r="Q272" s="100">
        <f>MAX(0,P272)</f>
        <v/>
      </c>
      <c r="R272" s="100">
        <f>MAX(0,-P272)</f>
        <v/>
      </c>
      <c r="S272" s="101">
        <f>IFERROR(J272/O272,0)</f>
        <v/>
      </c>
      <c r="T272" s="101">
        <f>IFERROR(I272/O272,0)</f>
        <v/>
      </c>
      <c r="U272" s="102">
        <f>IF(P272&lt;=K272,"Reorder Required","Stock Sufficient")</f>
        <v/>
      </c>
      <c r="V272" s="102">
        <f>IF(AND(Q272=M272,(U272="Reorder Required")=(N272="Reorder Required")),"OK","Mismatch")</f>
        <v/>
      </c>
      <c r="W272" s="99" t="inlineStr">
        <is>
          <t>Restock immediately</t>
        </is>
      </c>
    </row>
    <row r="273">
      <c r="A273" s="99" t="inlineStr">
        <is>
          <t>INV00272</t>
        </is>
      </c>
      <c r="B273" s="99" t="inlineStr">
        <is>
          <t>OUT006</t>
        </is>
      </c>
      <c r="C273" s="99">
        <f>INDEX(Lookup!$B$2:$B$11,MATCH(B273,Lookup!$A$2:$A$11,0))</f>
        <v/>
      </c>
      <c r="D273" s="99" t="inlineStr">
        <is>
          <t>BP022</t>
        </is>
      </c>
      <c r="E273" s="99">
        <f>INDEX(Lookup!$E$2:$E$51,MATCH(D273,Lookup!$D$2:$D$51,0))</f>
        <v/>
      </c>
      <c r="F273" s="99">
        <f>INDEX(Lookup!$F$2:$F$51,MATCH(D273,Lookup!$D$2:$D$51,0))</f>
        <v/>
      </c>
      <c r="G273" s="100" t="n">
        <v>148</v>
      </c>
      <c r="H273" s="100" t="n">
        <v>94</v>
      </c>
      <c r="I273" s="100" t="n">
        <v>30</v>
      </c>
      <c r="J273" s="100" t="n">
        <v>2</v>
      </c>
      <c r="K273" s="100" t="n">
        <v>35</v>
      </c>
      <c r="L273" s="100" t="n">
        <v>1</v>
      </c>
      <c r="M273" s="100" t="n">
        <v>210</v>
      </c>
      <c r="N273" s="99" t="inlineStr">
        <is>
          <t>Healthy</t>
        </is>
      </c>
      <c r="O273" s="100">
        <f>G273+H273</f>
        <v/>
      </c>
      <c r="P273" s="100">
        <f>G273+H273-I273-J273</f>
        <v/>
      </c>
      <c r="Q273" s="100">
        <f>MAX(0,P273)</f>
        <v/>
      </c>
      <c r="R273" s="100">
        <f>MAX(0,-P273)</f>
        <v/>
      </c>
      <c r="S273" s="101">
        <f>IFERROR(J273/O273,0)</f>
        <v/>
      </c>
      <c r="T273" s="101">
        <f>IFERROR(I273/O273,0)</f>
        <v/>
      </c>
      <c r="U273" s="102">
        <f>IF(P273&lt;=K273,"Reorder Required","Stock Sufficient")</f>
        <v/>
      </c>
      <c r="V273" s="102">
        <f>IF(AND(Q273=M273,(U273="Reorder Required")=(N273="Reorder Required")),"OK","Mismatch")</f>
        <v/>
      </c>
      <c r="W273" s="99" t="n"/>
    </row>
    <row r="274">
      <c r="A274" s="99" t="inlineStr">
        <is>
          <t>INV00273</t>
        </is>
      </c>
      <c r="B274" s="99" t="inlineStr">
        <is>
          <t>OUT006</t>
        </is>
      </c>
      <c r="C274" s="99">
        <f>INDEX(Lookup!$B$2:$B$11,MATCH(B274,Lookup!$A$2:$A$11,0))</f>
        <v/>
      </c>
      <c r="D274" s="99" t="inlineStr">
        <is>
          <t>BP023</t>
        </is>
      </c>
      <c r="E274" s="99">
        <f>INDEX(Lookup!$E$2:$E$51,MATCH(D274,Lookup!$D$2:$D$51,0))</f>
        <v/>
      </c>
      <c r="F274" s="99">
        <f>INDEX(Lookup!$F$2:$F$51,MATCH(D274,Lookup!$D$2:$D$51,0))</f>
        <v/>
      </c>
      <c r="G274" s="100" t="n">
        <v>105</v>
      </c>
      <c r="H274" s="100" t="n">
        <v>49</v>
      </c>
      <c r="I274" s="100" t="n">
        <v>86</v>
      </c>
      <c r="J274" s="100" t="n">
        <v>3</v>
      </c>
      <c r="K274" s="100" t="n">
        <v>18</v>
      </c>
      <c r="L274" s="100" t="n">
        <v>2</v>
      </c>
      <c r="M274" s="100" t="n">
        <v>65</v>
      </c>
      <c r="N274" s="99" t="inlineStr">
        <is>
          <t>Healthy</t>
        </is>
      </c>
      <c r="O274" s="100">
        <f>G274+H274</f>
        <v/>
      </c>
      <c r="P274" s="100">
        <f>G274+H274-I274-J274</f>
        <v/>
      </c>
      <c r="Q274" s="100">
        <f>MAX(0,P274)</f>
        <v/>
      </c>
      <c r="R274" s="100">
        <f>MAX(0,-P274)</f>
        <v/>
      </c>
      <c r="S274" s="101">
        <f>IFERROR(J274/O274,0)</f>
        <v/>
      </c>
      <c r="T274" s="101">
        <f>IFERROR(I274/O274,0)</f>
        <v/>
      </c>
      <c r="U274" s="102">
        <f>IF(P274&lt;=K274,"Reorder Required","Stock Sufficient")</f>
        <v/>
      </c>
      <c r="V274" s="102">
        <f>IF(AND(Q274=M274,(U274="Reorder Required")=(N274="Reorder Required")),"OK","Mismatch")</f>
        <v/>
      </c>
      <c r="W274" s="99" t="n"/>
    </row>
    <row r="275">
      <c r="A275" s="99" t="inlineStr">
        <is>
          <t>INV00274</t>
        </is>
      </c>
      <c r="B275" s="99" t="inlineStr">
        <is>
          <t>OUT006</t>
        </is>
      </c>
      <c r="C275" s="99">
        <f>INDEX(Lookup!$B$2:$B$11,MATCH(B275,Lookup!$A$2:$A$11,0))</f>
        <v/>
      </c>
      <c r="D275" s="99" t="inlineStr">
        <is>
          <t>BP024</t>
        </is>
      </c>
      <c r="E275" s="99">
        <f>INDEX(Lookup!$E$2:$E$51,MATCH(D275,Lookup!$D$2:$D$51,0))</f>
        <v/>
      </c>
      <c r="F275" s="99">
        <f>INDEX(Lookup!$F$2:$F$51,MATCH(D275,Lookup!$D$2:$D$51,0))</f>
        <v/>
      </c>
      <c r="G275" s="100" t="n">
        <v>129</v>
      </c>
      <c r="H275" s="100" t="n">
        <v>68</v>
      </c>
      <c r="I275" s="100" t="n">
        <v>129</v>
      </c>
      <c r="J275" s="100" t="n">
        <v>1</v>
      </c>
      <c r="K275" s="100" t="n">
        <v>29</v>
      </c>
      <c r="L275" s="100" t="n">
        <v>5</v>
      </c>
      <c r="M275" s="100" t="n">
        <v>67</v>
      </c>
      <c r="N275" s="99" t="inlineStr">
        <is>
          <t>Healthy</t>
        </is>
      </c>
      <c r="O275" s="100">
        <f>G275+H275</f>
        <v/>
      </c>
      <c r="P275" s="100">
        <f>G275+H275-I275-J275</f>
        <v/>
      </c>
      <c r="Q275" s="100">
        <f>MAX(0,P275)</f>
        <v/>
      </c>
      <c r="R275" s="100">
        <f>MAX(0,-P275)</f>
        <v/>
      </c>
      <c r="S275" s="101">
        <f>IFERROR(J275/O275,0)</f>
        <v/>
      </c>
      <c r="T275" s="101">
        <f>IFERROR(I275/O275,0)</f>
        <v/>
      </c>
      <c r="U275" s="102">
        <f>IF(P275&lt;=K275,"Reorder Required","Stock Sufficient")</f>
        <v/>
      </c>
      <c r="V275" s="102">
        <f>IF(AND(Q275=M275,(U275="Reorder Required")=(N275="Reorder Required")),"OK","Mismatch")</f>
        <v/>
      </c>
      <c r="W275" s="99" t="n"/>
    </row>
    <row r="276">
      <c r="A276" s="99" t="inlineStr">
        <is>
          <t>INV00275</t>
        </is>
      </c>
      <c r="B276" s="99" t="inlineStr">
        <is>
          <t>OUT006</t>
        </is>
      </c>
      <c r="C276" s="99">
        <f>INDEX(Lookup!$B$2:$B$11,MATCH(B276,Lookup!$A$2:$A$11,0))</f>
        <v/>
      </c>
      <c r="D276" s="99" t="inlineStr">
        <is>
          <t>BP025</t>
        </is>
      </c>
      <c r="E276" s="99">
        <f>INDEX(Lookup!$E$2:$E$51,MATCH(D276,Lookup!$D$2:$D$51,0))</f>
        <v/>
      </c>
      <c r="F276" s="99">
        <f>INDEX(Lookup!$F$2:$F$51,MATCH(D276,Lookup!$D$2:$D$51,0))</f>
        <v/>
      </c>
      <c r="G276" s="100" t="n">
        <v>133</v>
      </c>
      <c r="H276" s="100" t="n">
        <v>94</v>
      </c>
      <c r="I276" s="100" t="n">
        <v>121</v>
      </c>
      <c r="J276" s="100" t="n">
        <v>1</v>
      </c>
      <c r="K276" s="100" t="n">
        <v>36</v>
      </c>
      <c r="L276" s="100" t="n">
        <v>3</v>
      </c>
      <c r="M276" s="100" t="n">
        <v>105</v>
      </c>
      <c r="N276" s="99" t="inlineStr">
        <is>
          <t>Healthy</t>
        </is>
      </c>
      <c r="O276" s="100">
        <f>G276+H276</f>
        <v/>
      </c>
      <c r="P276" s="100">
        <f>G276+H276-I276-J276</f>
        <v/>
      </c>
      <c r="Q276" s="100">
        <f>MAX(0,P276)</f>
        <v/>
      </c>
      <c r="R276" s="100">
        <f>MAX(0,-P276)</f>
        <v/>
      </c>
      <c r="S276" s="101">
        <f>IFERROR(J276/O276,0)</f>
        <v/>
      </c>
      <c r="T276" s="101">
        <f>IFERROR(I276/O276,0)</f>
        <v/>
      </c>
      <c r="U276" s="102">
        <f>IF(P276&lt;=K276,"Reorder Required","Stock Sufficient")</f>
        <v/>
      </c>
      <c r="V276" s="102">
        <f>IF(AND(Q276=M276,(U276="Reorder Required")=(N276="Reorder Required")),"OK","Mismatch")</f>
        <v/>
      </c>
      <c r="W276" s="99" t="n"/>
    </row>
    <row r="277">
      <c r="A277" s="99" t="inlineStr">
        <is>
          <t>INV00276</t>
        </is>
      </c>
      <c r="B277" s="99" t="inlineStr">
        <is>
          <t>OUT006</t>
        </is>
      </c>
      <c r="C277" s="99">
        <f>INDEX(Lookup!$B$2:$B$11,MATCH(B277,Lookup!$A$2:$A$11,0))</f>
        <v/>
      </c>
      <c r="D277" s="99" t="inlineStr">
        <is>
          <t>BP026</t>
        </is>
      </c>
      <c r="E277" s="99">
        <f>INDEX(Lookup!$E$2:$E$51,MATCH(D277,Lookup!$D$2:$D$51,0))</f>
        <v/>
      </c>
      <c r="F277" s="99">
        <f>INDEX(Lookup!$F$2:$F$51,MATCH(D277,Lookup!$D$2:$D$51,0))</f>
        <v/>
      </c>
      <c r="G277" s="100" t="n">
        <v>40</v>
      </c>
      <c r="H277" s="100" t="n">
        <v>88</v>
      </c>
      <c r="I277" s="100" t="n">
        <v>87</v>
      </c>
      <c r="J277" s="100" t="n">
        <v>2</v>
      </c>
      <c r="K277" s="100" t="n">
        <v>36</v>
      </c>
      <c r="L277" s="100" t="n">
        <v>2</v>
      </c>
      <c r="M277" s="100" t="n">
        <v>39</v>
      </c>
      <c r="N277" s="99" t="inlineStr">
        <is>
          <t>Healthy</t>
        </is>
      </c>
      <c r="O277" s="100">
        <f>G277+H277</f>
        <v/>
      </c>
      <c r="P277" s="100">
        <f>G277+H277-I277-J277</f>
        <v/>
      </c>
      <c r="Q277" s="100">
        <f>MAX(0,P277)</f>
        <v/>
      </c>
      <c r="R277" s="100">
        <f>MAX(0,-P277)</f>
        <v/>
      </c>
      <c r="S277" s="101">
        <f>IFERROR(J277/O277,0)</f>
        <v/>
      </c>
      <c r="T277" s="101">
        <f>IFERROR(I277/O277,0)</f>
        <v/>
      </c>
      <c r="U277" s="102">
        <f>IF(P277&lt;=K277,"Reorder Required","Stock Sufficient")</f>
        <v/>
      </c>
      <c r="V277" s="102">
        <f>IF(AND(Q277=M277,(U277="Reorder Required")=(N277="Reorder Required")),"OK","Mismatch")</f>
        <v/>
      </c>
      <c r="W277" s="99" t="n"/>
    </row>
    <row r="278">
      <c r="A278" s="99" t="inlineStr">
        <is>
          <t>INV00277</t>
        </is>
      </c>
      <c r="B278" s="99" t="inlineStr">
        <is>
          <t>OUT006</t>
        </is>
      </c>
      <c r="C278" s="99">
        <f>INDEX(Lookup!$B$2:$B$11,MATCH(B278,Lookup!$A$2:$A$11,0))</f>
        <v/>
      </c>
      <c r="D278" s="99" t="inlineStr">
        <is>
          <t>BP027</t>
        </is>
      </c>
      <c r="E278" s="99">
        <f>INDEX(Lookup!$E$2:$E$51,MATCH(D278,Lookup!$D$2:$D$51,0))</f>
        <v/>
      </c>
      <c r="F278" s="99">
        <f>INDEX(Lookup!$F$2:$F$51,MATCH(D278,Lookup!$D$2:$D$51,0))</f>
        <v/>
      </c>
      <c r="G278" s="100" t="n">
        <v>131</v>
      </c>
      <c r="H278" s="100" t="n">
        <v>82</v>
      </c>
      <c r="I278" s="100" t="n">
        <v>113</v>
      </c>
      <c r="J278" s="100" t="n">
        <v>2</v>
      </c>
      <c r="K278" s="100" t="n">
        <v>24</v>
      </c>
      <c r="L278" s="100" t="n">
        <v>1</v>
      </c>
      <c r="M278" s="100" t="n">
        <v>98</v>
      </c>
      <c r="N278" s="99" t="inlineStr">
        <is>
          <t>Healthy</t>
        </is>
      </c>
      <c r="O278" s="100">
        <f>G278+H278</f>
        <v/>
      </c>
      <c r="P278" s="100">
        <f>G278+H278-I278-J278</f>
        <v/>
      </c>
      <c r="Q278" s="100">
        <f>MAX(0,P278)</f>
        <v/>
      </c>
      <c r="R278" s="100">
        <f>MAX(0,-P278)</f>
        <v/>
      </c>
      <c r="S278" s="101">
        <f>IFERROR(J278/O278,0)</f>
        <v/>
      </c>
      <c r="T278" s="101">
        <f>IFERROR(I278/O278,0)</f>
        <v/>
      </c>
      <c r="U278" s="102">
        <f>IF(P278&lt;=K278,"Reorder Required","Stock Sufficient")</f>
        <v/>
      </c>
      <c r="V278" s="102">
        <f>IF(AND(Q278=M278,(U278="Reorder Required")=(N278="Reorder Required")),"OK","Mismatch")</f>
        <v/>
      </c>
      <c r="W278" s="99" t="n"/>
    </row>
    <row r="279">
      <c r="A279" s="99" t="inlineStr">
        <is>
          <t>INV00278</t>
        </is>
      </c>
      <c r="B279" s="99" t="inlineStr">
        <is>
          <t>OUT006</t>
        </is>
      </c>
      <c r="C279" s="99">
        <f>INDEX(Lookup!$B$2:$B$11,MATCH(B279,Lookup!$A$2:$A$11,0))</f>
        <v/>
      </c>
      <c r="D279" s="99" t="inlineStr">
        <is>
          <t>BP028</t>
        </is>
      </c>
      <c r="E279" s="99">
        <f>INDEX(Lookup!$E$2:$E$51,MATCH(D279,Lookup!$D$2:$D$51,0))</f>
        <v/>
      </c>
      <c r="F279" s="99">
        <f>INDEX(Lookup!$F$2:$F$51,MATCH(D279,Lookup!$D$2:$D$51,0))</f>
        <v/>
      </c>
      <c r="G279" s="100" t="n">
        <v>137</v>
      </c>
      <c r="H279" s="100" t="n">
        <v>64</v>
      </c>
      <c r="I279" s="100" t="n">
        <v>75</v>
      </c>
      <c r="J279" s="100" t="n">
        <v>1</v>
      </c>
      <c r="K279" s="100" t="n">
        <v>37</v>
      </c>
      <c r="L279" s="100" t="n">
        <v>4</v>
      </c>
      <c r="M279" s="100" t="n">
        <v>125</v>
      </c>
      <c r="N279" s="99" t="inlineStr">
        <is>
          <t>Healthy</t>
        </is>
      </c>
      <c r="O279" s="100">
        <f>G279+H279</f>
        <v/>
      </c>
      <c r="P279" s="100">
        <f>G279+H279-I279-J279</f>
        <v/>
      </c>
      <c r="Q279" s="100">
        <f>MAX(0,P279)</f>
        <v/>
      </c>
      <c r="R279" s="100">
        <f>MAX(0,-P279)</f>
        <v/>
      </c>
      <c r="S279" s="101">
        <f>IFERROR(J279/O279,0)</f>
        <v/>
      </c>
      <c r="T279" s="101">
        <f>IFERROR(I279/O279,0)</f>
        <v/>
      </c>
      <c r="U279" s="102">
        <f>IF(P279&lt;=K279,"Reorder Required","Stock Sufficient")</f>
        <v/>
      </c>
      <c r="V279" s="102">
        <f>IF(AND(Q279=M279,(U279="Reorder Required")=(N279="Reorder Required")),"OK","Mismatch")</f>
        <v/>
      </c>
      <c r="W279" s="99" t="n"/>
    </row>
    <row r="280">
      <c r="A280" s="99" t="inlineStr">
        <is>
          <t>INV00279</t>
        </is>
      </c>
      <c r="B280" s="99" t="inlineStr">
        <is>
          <t>OUT006</t>
        </is>
      </c>
      <c r="C280" s="99">
        <f>INDEX(Lookup!$B$2:$B$11,MATCH(B280,Lookup!$A$2:$A$11,0))</f>
        <v/>
      </c>
      <c r="D280" s="99" t="inlineStr">
        <is>
          <t>BP029</t>
        </is>
      </c>
      <c r="E280" s="99">
        <f>INDEX(Lookup!$E$2:$E$51,MATCH(D280,Lookup!$D$2:$D$51,0))</f>
        <v/>
      </c>
      <c r="F280" s="99">
        <f>INDEX(Lookup!$F$2:$F$51,MATCH(D280,Lookup!$D$2:$D$51,0))</f>
        <v/>
      </c>
      <c r="G280" s="100" t="n">
        <v>119</v>
      </c>
      <c r="H280" s="100" t="n">
        <v>50</v>
      </c>
      <c r="I280" s="100" t="n">
        <v>110</v>
      </c>
      <c r="J280" s="100" t="n">
        <v>1</v>
      </c>
      <c r="K280" s="100" t="n">
        <v>32</v>
      </c>
      <c r="L280" s="100" t="n">
        <v>5</v>
      </c>
      <c r="M280" s="100" t="n">
        <v>58</v>
      </c>
      <c r="N280" s="99" t="inlineStr">
        <is>
          <t>Healthy</t>
        </is>
      </c>
      <c r="O280" s="100">
        <f>G280+H280</f>
        <v/>
      </c>
      <c r="P280" s="100">
        <f>G280+H280-I280-J280</f>
        <v/>
      </c>
      <c r="Q280" s="100">
        <f>MAX(0,P280)</f>
        <v/>
      </c>
      <c r="R280" s="100">
        <f>MAX(0,-P280)</f>
        <v/>
      </c>
      <c r="S280" s="101">
        <f>IFERROR(J280/O280,0)</f>
        <v/>
      </c>
      <c r="T280" s="101">
        <f>IFERROR(I280/O280,0)</f>
        <v/>
      </c>
      <c r="U280" s="102">
        <f>IF(P280&lt;=K280,"Reorder Required","Stock Sufficient")</f>
        <v/>
      </c>
      <c r="V280" s="102">
        <f>IF(AND(Q280=M280,(U280="Reorder Required")=(N280="Reorder Required")),"OK","Mismatch")</f>
        <v/>
      </c>
      <c r="W280" s="99" t="n"/>
    </row>
    <row r="281">
      <c r="A281" s="99" t="inlineStr">
        <is>
          <t>INV00280</t>
        </is>
      </c>
      <c r="B281" s="99" t="inlineStr">
        <is>
          <t>OUT006</t>
        </is>
      </c>
      <c r="C281" s="99">
        <f>INDEX(Lookup!$B$2:$B$11,MATCH(B281,Lookup!$A$2:$A$11,0))</f>
        <v/>
      </c>
      <c r="D281" s="99" t="inlineStr">
        <is>
          <t>BP030</t>
        </is>
      </c>
      <c r="E281" s="99">
        <f>INDEX(Lookup!$E$2:$E$51,MATCH(D281,Lookup!$D$2:$D$51,0))</f>
        <v/>
      </c>
      <c r="F281" s="99">
        <f>INDEX(Lookup!$F$2:$F$51,MATCH(D281,Lookup!$D$2:$D$51,0))</f>
        <v/>
      </c>
      <c r="G281" s="100" t="n">
        <v>148</v>
      </c>
      <c r="H281" s="100" t="n">
        <v>38</v>
      </c>
      <c r="I281" s="100" t="n">
        <v>76</v>
      </c>
      <c r="J281" s="100" t="n">
        <v>6</v>
      </c>
      <c r="K281" s="100" t="n">
        <v>33</v>
      </c>
      <c r="L281" s="100" t="n">
        <v>3</v>
      </c>
      <c r="M281" s="100" t="n">
        <v>104</v>
      </c>
      <c r="N281" s="99" t="inlineStr">
        <is>
          <t>Healthy</t>
        </is>
      </c>
      <c r="O281" s="100">
        <f>G281+H281</f>
        <v/>
      </c>
      <c r="P281" s="100">
        <f>G281+H281-I281-J281</f>
        <v/>
      </c>
      <c r="Q281" s="100">
        <f>MAX(0,P281)</f>
        <v/>
      </c>
      <c r="R281" s="100">
        <f>MAX(0,-P281)</f>
        <v/>
      </c>
      <c r="S281" s="101">
        <f>IFERROR(J281/O281,0)</f>
        <v/>
      </c>
      <c r="T281" s="101">
        <f>IFERROR(I281/O281,0)</f>
        <v/>
      </c>
      <c r="U281" s="102">
        <f>IF(P281&lt;=K281,"Reorder Required","Stock Sufficient")</f>
        <v/>
      </c>
      <c r="V281" s="102">
        <f>IF(AND(Q281=M281,(U281="Reorder Required")=(N281="Reorder Required")),"OK","Mismatch")</f>
        <v/>
      </c>
      <c r="W281" s="99" t="n"/>
    </row>
    <row r="282">
      <c r="A282" s="99" t="inlineStr">
        <is>
          <t>INV00281</t>
        </is>
      </c>
      <c r="B282" s="99" t="inlineStr">
        <is>
          <t>OUT006</t>
        </is>
      </c>
      <c r="C282" s="99">
        <f>INDEX(Lookup!$B$2:$B$11,MATCH(B282,Lookup!$A$2:$A$11,0))</f>
        <v/>
      </c>
      <c r="D282" s="99" t="inlineStr">
        <is>
          <t>BP031</t>
        </is>
      </c>
      <c r="E282" s="99">
        <f>INDEX(Lookup!$E$2:$E$51,MATCH(D282,Lookup!$D$2:$D$51,0))</f>
        <v/>
      </c>
      <c r="F282" s="99">
        <f>INDEX(Lookup!$F$2:$F$51,MATCH(D282,Lookup!$D$2:$D$51,0))</f>
        <v/>
      </c>
      <c r="G282" s="100" t="n">
        <v>102</v>
      </c>
      <c r="H282" s="100" t="n">
        <v>46</v>
      </c>
      <c r="I282" s="100" t="n">
        <v>118</v>
      </c>
      <c r="J282" s="100" t="n">
        <v>2</v>
      </c>
      <c r="K282" s="100" t="n">
        <v>18</v>
      </c>
      <c r="L282" s="100" t="n">
        <v>1</v>
      </c>
      <c r="M282" s="100" t="n">
        <v>28</v>
      </c>
      <c r="N282" s="99" t="inlineStr">
        <is>
          <t>Healthy</t>
        </is>
      </c>
      <c r="O282" s="100">
        <f>G282+H282</f>
        <v/>
      </c>
      <c r="P282" s="100">
        <f>G282+H282-I282-J282</f>
        <v/>
      </c>
      <c r="Q282" s="100">
        <f>MAX(0,P282)</f>
        <v/>
      </c>
      <c r="R282" s="100">
        <f>MAX(0,-P282)</f>
        <v/>
      </c>
      <c r="S282" s="101">
        <f>IFERROR(J282/O282,0)</f>
        <v/>
      </c>
      <c r="T282" s="101">
        <f>IFERROR(I282/O282,0)</f>
        <v/>
      </c>
      <c r="U282" s="102">
        <f>IF(P282&lt;=K282,"Reorder Required","Stock Sufficient")</f>
        <v/>
      </c>
      <c r="V282" s="102">
        <f>IF(AND(Q282=M282,(U282="Reorder Required")=(N282="Reorder Required")),"OK","Mismatch")</f>
        <v/>
      </c>
      <c r="W282" s="99" t="n"/>
    </row>
    <row r="283">
      <c r="A283" s="99" t="inlineStr">
        <is>
          <t>INV00282</t>
        </is>
      </c>
      <c r="B283" s="99" t="inlineStr">
        <is>
          <t>OUT006</t>
        </is>
      </c>
      <c r="C283" s="99">
        <f>INDEX(Lookup!$B$2:$B$11,MATCH(B283,Lookup!$A$2:$A$11,0))</f>
        <v/>
      </c>
      <c r="D283" s="99" t="inlineStr">
        <is>
          <t>BP032</t>
        </is>
      </c>
      <c r="E283" s="99">
        <f>INDEX(Lookup!$E$2:$E$51,MATCH(D283,Lookup!$D$2:$D$51,0))</f>
        <v/>
      </c>
      <c r="F283" s="99">
        <f>INDEX(Lookup!$F$2:$F$51,MATCH(D283,Lookup!$D$2:$D$51,0))</f>
        <v/>
      </c>
      <c r="G283" s="100" t="n">
        <v>48</v>
      </c>
      <c r="H283" s="100" t="n">
        <v>71</v>
      </c>
      <c r="I283" s="100" t="n">
        <v>109</v>
      </c>
      <c r="J283" s="100" t="n">
        <v>7</v>
      </c>
      <c r="K283" s="100" t="n">
        <v>28</v>
      </c>
      <c r="L283" s="100" t="n">
        <v>3</v>
      </c>
      <c r="M283" s="100" t="n">
        <v>3</v>
      </c>
      <c r="N283" s="99" t="inlineStr">
        <is>
          <t>Reorder Required</t>
        </is>
      </c>
      <c r="O283" s="100">
        <f>G283+H283</f>
        <v/>
      </c>
      <c r="P283" s="100">
        <f>G283+H283-I283-J283</f>
        <v/>
      </c>
      <c r="Q283" s="100">
        <f>MAX(0,P283)</f>
        <v/>
      </c>
      <c r="R283" s="100">
        <f>MAX(0,-P283)</f>
        <v/>
      </c>
      <c r="S283" s="101">
        <f>IFERROR(J283/O283,0)</f>
        <v/>
      </c>
      <c r="T283" s="101">
        <f>IFERROR(I283/O283,0)</f>
        <v/>
      </c>
      <c r="U283" s="102">
        <f>IF(P283&lt;=K283,"Reorder Required","Stock Sufficient")</f>
        <v/>
      </c>
      <c r="V283" s="102">
        <f>IF(AND(Q283=M283,(U283="Reorder Required")=(N283="Reorder Required")),"OK","Mismatch")</f>
        <v/>
      </c>
      <c r="W283" s="99" t="inlineStr">
        <is>
          <t>Restock immediately</t>
        </is>
      </c>
    </row>
    <row r="284">
      <c r="A284" s="99" t="inlineStr">
        <is>
          <t>INV00283</t>
        </is>
      </c>
      <c r="B284" s="99" t="inlineStr">
        <is>
          <t>OUT006</t>
        </is>
      </c>
      <c r="C284" s="99">
        <f>INDEX(Lookup!$B$2:$B$11,MATCH(B284,Lookup!$A$2:$A$11,0))</f>
        <v/>
      </c>
      <c r="D284" s="99" t="inlineStr">
        <is>
          <t>BP033</t>
        </is>
      </c>
      <c r="E284" s="99">
        <f>INDEX(Lookup!$E$2:$E$51,MATCH(D284,Lookup!$D$2:$D$51,0))</f>
        <v/>
      </c>
      <c r="F284" s="99">
        <f>INDEX(Lookup!$F$2:$F$51,MATCH(D284,Lookup!$D$2:$D$51,0))</f>
        <v/>
      </c>
      <c r="G284" s="100" t="n">
        <v>102</v>
      </c>
      <c r="H284" s="100" t="n">
        <v>71</v>
      </c>
      <c r="I284" s="100" t="n">
        <v>33</v>
      </c>
      <c r="J284" s="100" t="n">
        <v>8</v>
      </c>
      <c r="K284" s="100" t="n">
        <v>27</v>
      </c>
      <c r="L284" s="100" t="n">
        <v>4</v>
      </c>
      <c r="M284" s="100" t="n">
        <v>132</v>
      </c>
      <c r="N284" s="99" t="inlineStr">
        <is>
          <t>Healthy</t>
        </is>
      </c>
      <c r="O284" s="100">
        <f>G284+H284</f>
        <v/>
      </c>
      <c r="P284" s="100">
        <f>G284+H284-I284-J284</f>
        <v/>
      </c>
      <c r="Q284" s="100">
        <f>MAX(0,P284)</f>
        <v/>
      </c>
      <c r="R284" s="100">
        <f>MAX(0,-P284)</f>
        <v/>
      </c>
      <c r="S284" s="101">
        <f>IFERROR(J284/O284,0)</f>
        <v/>
      </c>
      <c r="T284" s="101">
        <f>IFERROR(I284/O284,0)</f>
        <v/>
      </c>
      <c r="U284" s="102">
        <f>IF(P284&lt;=K284,"Reorder Required","Stock Sufficient")</f>
        <v/>
      </c>
      <c r="V284" s="102">
        <f>IF(AND(Q284=M284,(U284="Reorder Required")=(N284="Reorder Required")),"OK","Mismatch")</f>
        <v/>
      </c>
      <c r="W284" s="99" t="n"/>
    </row>
    <row r="285">
      <c r="A285" s="99" t="inlineStr">
        <is>
          <t>INV00284</t>
        </is>
      </c>
      <c r="B285" s="99" t="inlineStr">
        <is>
          <t>OUT006</t>
        </is>
      </c>
      <c r="C285" s="99">
        <f>INDEX(Lookup!$B$2:$B$11,MATCH(B285,Lookup!$A$2:$A$11,0))</f>
        <v/>
      </c>
      <c r="D285" s="99" t="inlineStr">
        <is>
          <t>BP034</t>
        </is>
      </c>
      <c r="E285" s="99">
        <f>INDEX(Lookup!$E$2:$E$51,MATCH(D285,Lookup!$D$2:$D$51,0))</f>
        <v/>
      </c>
      <c r="F285" s="99">
        <f>INDEX(Lookup!$F$2:$F$51,MATCH(D285,Lookup!$D$2:$D$51,0))</f>
        <v/>
      </c>
      <c r="G285" s="100" t="n">
        <v>91</v>
      </c>
      <c r="H285" s="100" t="n">
        <v>66</v>
      </c>
      <c r="I285" s="100" t="n">
        <v>41</v>
      </c>
      <c r="J285" s="100" t="n">
        <v>7</v>
      </c>
      <c r="K285" s="100" t="n">
        <v>15</v>
      </c>
      <c r="L285" s="100" t="n">
        <v>3</v>
      </c>
      <c r="M285" s="100" t="n">
        <v>109</v>
      </c>
      <c r="N285" s="99" t="inlineStr">
        <is>
          <t>Healthy</t>
        </is>
      </c>
      <c r="O285" s="100">
        <f>G285+H285</f>
        <v/>
      </c>
      <c r="P285" s="100">
        <f>G285+H285-I285-J285</f>
        <v/>
      </c>
      <c r="Q285" s="100">
        <f>MAX(0,P285)</f>
        <v/>
      </c>
      <c r="R285" s="100">
        <f>MAX(0,-P285)</f>
        <v/>
      </c>
      <c r="S285" s="101">
        <f>IFERROR(J285/O285,0)</f>
        <v/>
      </c>
      <c r="T285" s="101">
        <f>IFERROR(I285/O285,0)</f>
        <v/>
      </c>
      <c r="U285" s="102">
        <f>IF(P285&lt;=K285,"Reorder Required","Stock Sufficient")</f>
        <v/>
      </c>
      <c r="V285" s="102">
        <f>IF(AND(Q285=M285,(U285="Reorder Required")=(N285="Reorder Required")),"OK","Mismatch")</f>
        <v/>
      </c>
      <c r="W285" s="99" t="n"/>
    </row>
    <row r="286">
      <c r="A286" s="99" t="inlineStr">
        <is>
          <t>INV00285</t>
        </is>
      </c>
      <c r="B286" s="99" t="inlineStr">
        <is>
          <t>OUT006</t>
        </is>
      </c>
      <c r="C286" s="99">
        <f>INDEX(Lookup!$B$2:$B$11,MATCH(B286,Lookup!$A$2:$A$11,0))</f>
        <v/>
      </c>
      <c r="D286" s="99" t="inlineStr">
        <is>
          <t>BP035</t>
        </is>
      </c>
      <c r="E286" s="99">
        <f>INDEX(Lookup!$E$2:$E$51,MATCH(D286,Lookup!$D$2:$D$51,0))</f>
        <v/>
      </c>
      <c r="F286" s="99">
        <f>INDEX(Lookup!$F$2:$F$51,MATCH(D286,Lookup!$D$2:$D$51,0))</f>
        <v/>
      </c>
      <c r="G286" s="100" t="n">
        <v>60</v>
      </c>
      <c r="H286" s="100" t="n">
        <v>28</v>
      </c>
      <c r="I286" s="100" t="n">
        <v>32</v>
      </c>
      <c r="J286" s="100" t="n">
        <v>4</v>
      </c>
      <c r="K286" s="100" t="n">
        <v>18</v>
      </c>
      <c r="L286" s="100" t="n">
        <v>2</v>
      </c>
      <c r="M286" s="100" t="n">
        <v>52</v>
      </c>
      <c r="N286" s="99" t="inlineStr">
        <is>
          <t>Healthy</t>
        </is>
      </c>
      <c r="O286" s="100">
        <f>G286+H286</f>
        <v/>
      </c>
      <c r="P286" s="100">
        <f>G286+H286-I286-J286</f>
        <v/>
      </c>
      <c r="Q286" s="100">
        <f>MAX(0,P286)</f>
        <v/>
      </c>
      <c r="R286" s="100">
        <f>MAX(0,-P286)</f>
        <v/>
      </c>
      <c r="S286" s="101">
        <f>IFERROR(J286/O286,0)</f>
        <v/>
      </c>
      <c r="T286" s="101">
        <f>IFERROR(I286/O286,0)</f>
        <v/>
      </c>
      <c r="U286" s="102">
        <f>IF(P286&lt;=K286,"Reorder Required","Stock Sufficient")</f>
        <v/>
      </c>
      <c r="V286" s="102">
        <f>IF(AND(Q286=M286,(U286="Reorder Required")=(N286="Reorder Required")),"OK","Mismatch")</f>
        <v/>
      </c>
      <c r="W286" s="99" t="n"/>
    </row>
    <row r="287">
      <c r="A287" s="99" t="inlineStr">
        <is>
          <t>INV00286</t>
        </is>
      </c>
      <c r="B287" s="99" t="inlineStr">
        <is>
          <t>OUT006</t>
        </is>
      </c>
      <c r="C287" s="99">
        <f>INDEX(Lookup!$B$2:$B$11,MATCH(B287,Lookup!$A$2:$A$11,0))</f>
        <v/>
      </c>
      <c r="D287" s="99" t="inlineStr">
        <is>
          <t>BP036</t>
        </is>
      </c>
      <c r="E287" s="99">
        <f>INDEX(Lookup!$E$2:$E$51,MATCH(D287,Lookup!$D$2:$D$51,0))</f>
        <v/>
      </c>
      <c r="F287" s="99">
        <f>INDEX(Lookup!$F$2:$F$51,MATCH(D287,Lookup!$D$2:$D$51,0))</f>
        <v/>
      </c>
      <c r="G287" s="100" t="n">
        <v>64</v>
      </c>
      <c r="H287" s="100" t="n">
        <v>61</v>
      </c>
      <c r="I287" s="100" t="n">
        <v>88</v>
      </c>
      <c r="J287" s="100" t="n">
        <v>5</v>
      </c>
      <c r="K287" s="100" t="n">
        <v>32</v>
      </c>
      <c r="L287" s="100" t="n">
        <v>3</v>
      </c>
      <c r="M287" s="100" t="n">
        <v>32</v>
      </c>
      <c r="N287" s="99" t="inlineStr">
        <is>
          <t>Reorder Required</t>
        </is>
      </c>
      <c r="O287" s="100">
        <f>G287+H287</f>
        <v/>
      </c>
      <c r="P287" s="100">
        <f>G287+H287-I287-J287</f>
        <v/>
      </c>
      <c r="Q287" s="100">
        <f>MAX(0,P287)</f>
        <v/>
      </c>
      <c r="R287" s="100">
        <f>MAX(0,-P287)</f>
        <v/>
      </c>
      <c r="S287" s="101">
        <f>IFERROR(J287/O287,0)</f>
        <v/>
      </c>
      <c r="T287" s="101">
        <f>IFERROR(I287/O287,0)</f>
        <v/>
      </c>
      <c r="U287" s="102">
        <f>IF(P287&lt;=K287,"Reorder Required","Stock Sufficient")</f>
        <v/>
      </c>
      <c r="V287" s="102">
        <f>IF(AND(Q287=M287,(U287="Reorder Required")=(N287="Reorder Required")),"OK","Mismatch")</f>
        <v/>
      </c>
      <c r="W287" s="99" t="inlineStr">
        <is>
          <t>Restock immediately</t>
        </is>
      </c>
    </row>
    <row r="288">
      <c r="A288" s="99" t="inlineStr">
        <is>
          <t>INV00287</t>
        </is>
      </c>
      <c r="B288" s="99" t="inlineStr">
        <is>
          <t>OUT006</t>
        </is>
      </c>
      <c r="C288" s="99">
        <f>INDEX(Lookup!$B$2:$B$11,MATCH(B288,Lookup!$A$2:$A$11,0))</f>
        <v/>
      </c>
      <c r="D288" s="99" t="inlineStr">
        <is>
          <t>BP037</t>
        </is>
      </c>
      <c r="E288" s="99">
        <f>INDEX(Lookup!$E$2:$E$51,MATCH(D288,Lookup!$D$2:$D$51,0))</f>
        <v/>
      </c>
      <c r="F288" s="99">
        <f>INDEX(Lookup!$F$2:$F$51,MATCH(D288,Lookup!$D$2:$D$51,0))</f>
        <v/>
      </c>
      <c r="G288" s="100" t="n">
        <v>110</v>
      </c>
      <c r="H288" s="100" t="n">
        <v>99</v>
      </c>
      <c r="I288" s="100" t="n">
        <v>137</v>
      </c>
      <c r="J288" s="100" t="n">
        <v>4</v>
      </c>
      <c r="K288" s="100" t="n">
        <v>40</v>
      </c>
      <c r="L288" s="100" t="n">
        <v>1</v>
      </c>
      <c r="M288" s="100" t="n">
        <v>68</v>
      </c>
      <c r="N288" s="99" t="inlineStr">
        <is>
          <t>Healthy</t>
        </is>
      </c>
      <c r="O288" s="100">
        <f>G288+H288</f>
        <v/>
      </c>
      <c r="P288" s="100">
        <f>G288+H288-I288-J288</f>
        <v/>
      </c>
      <c r="Q288" s="100">
        <f>MAX(0,P288)</f>
        <v/>
      </c>
      <c r="R288" s="100">
        <f>MAX(0,-P288)</f>
        <v/>
      </c>
      <c r="S288" s="101">
        <f>IFERROR(J288/O288,0)</f>
        <v/>
      </c>
      <c r="T288" s="101">
        <f>IFERROR(I288/O288,0)</f>
        <v/>
      </c>
      <c r="U288" s="102">
        <f>IF(P288&lt;=K288,"Reorder Required","Stock Sufficient")</f>
        <v/>
      </c>
      <c r="V288" s="102">
        <f>IF(AND(Q288=M288,(U288="Reorder Required")=(N288="Reorder Required")),"OK","Mismatch")</f>
        <v/>
      </c>
      <c r="W288" s="99" t="n"/>
    </row>
    <row r="289">
      <c r="A289" s="99" t="inlineStr">
        <is>
          <t>INV00288</t>
        </is>
      </c>
      <c r="B289" s="99" t="inlineStr">
        <is>
          <t>OUT006</t>
        </is>
      </c>
      <c r="C289" s="99">
        <f>INDEX(Lookup!$B$2:$B$11,MATCH(B289,Lookup!$A$2:$A$11,0))</f>
        <v/>
      </c>
      <c r="D289" s="99" t="inlineStr">
        <is>
          <t>BP038</t>
        </is>
      </c>
      <c r="E289" s="99">
        <f>INDEX(Lookup!$E$2:$E$51,MATCH(D289,Lookup!$D$2:$D$51,0))</f>
        <v/>
      </c>
      <c r="F289" s="99">
        <f>INDEX(Lookup!$F$2:$F$51,MATCH(D289,Lookup!$D$2:$D$51,0))</f>
        <v/>
      </c>
      <c r="G289" s="100" t="n">
        <v>83</v>
      </c>
      <c r="H289" s="100" t="n">
        <v>61</v>
      </c>
      <c r="I289" s="100" t="n">
        <v>131</v>
      </c>
      <c r="J289" s="100" t="n">
        <v>2</v>
      </c>
      <c r="K289" s="100" t="n">
        <v>28</v>
      </c>
      <c r="L289" s="100" t="n">
        <v>3</v>
      </c>
      <c r="M289" s="100" t="n">
        <v>11</v>
      </c>
      <c r="N289" s="99" t="inlineStr">
        <is>
          <t>Reorder Required</t>
        </is>
      </c>
      <c r="O289" s="100">
        <f>G289+H289</f>
        <v/>
      </c>
      <c r="P289" s="100">
        <f>G289+H289-I289-J289</f>
        <v/>
      </c>
      <c r="Q289" s="100">
        <f>MAX(0,P289)</f>
        <v/>
      </c>
      <c r="R289" s="100">
        <f>MAX(0,-P289)</f>
        <v/>
      </c>
      <c r="S289" s="101">
        <f>IFERROR(J289/O289,0)</f>
        <v/>
      </c>
      <c r="T289" s="101">
        <f>IFERROR(I289/O289,0)</f>
        <v/>
      </c>
      <c r="U289" s="102">
        <f>IF(P289&lt;=K289,"Reorder Required","Stock Sufficient")</f>
        <v/>
      </c>
      <c r="V289" s="102">
        <f>IF(AND(Q289=M289,(U289="Reorder Required")=(N289="Reorder Required")),"OK","Mismatch")</f>
        <v/>
      </c>
      <c r="W289" s="99" t="inlineStr">
        <is>
          <t>Restock immediately</t>
        </is>
      </c>
    </row>
    <row r="290">
      <c r="A290" s="99" t="inlineStr">
        <is>
          <t>INV00289</t>
        </is>
      </c>
      <c r="B290" s="99" t="inlineStr">
        <is>
          <t>OUT006</t>
        </is>
      </c>
      <c r="C290" s="99">
        <f>INDEX(Lookup!$B$2:$B$11,MATCH(B290,Lookup!$A$2:$A$11,0))</f>
        <v/>
      </c>
      <c r="D290" s="99" t="inlineStr">
        <is>
          <t>BP039</t>
        </is>
      </c>
      <c r="E290" s="99">
        <f>INDEX(Lookup!$E$2:$E$51,MATCH(D290,Lookup!$D$2:$D$51,0))</f>
        <v/>
      </c>
      <c r="F290" s="99">
        <f>INDEX(Lookup!$F$2:$F$51,MATCH(D290,Lookup!$D$2:$D$51,0))</f>
        <v/>
      </c>
      <c r="G290" s="100" t="n">
        <v>57</v>
      </c>
      <c r="H290" s="100" t="n">
        <v>24</v>
      </c>
      <c r="I290" s="100" t="n">
        <v>105</v>
      </c>
      <c r="J290" s="100" t="n">
        <v>4</v>
      </c>
      <c r="K290" s="100" t="n">
        <v>31</v>
      </c>
      <c r="L290" s="100" t="n">
        <v>1</v>
      </c>
      <c r="M290" s="100" t="n">
        <v>0</v>
      </c>
      <c r="N290" s="99" t="inlineStr">
        <is>
          <t>Reorder Required</t>
        </is>
      </c>
      <c r="O290" s="100">
        <f>G290+H290</f>
        <v/>
      </c>
      <c r="P290" s="100">
        <f>G290+H290-I290-J290</f>
        <v/>
      </c>
      <c r="Q290" s="100">
        <f>MAX(0,P290)</f>
        <v/>
      </c>
      <c r="R290" s="100">
        <f>MAX(0,-P290)</f>
        <v/>
      </c>
      <c r="S290" s="101">
        <f>IFERROR(J290/O290,0)</f>
        <v/>
      </c>
      <c r="T290" s="101">
        <f>IFERROR(I290/O290,0)</f>
        <v/>
      </c>
      <c r="U290" s="102">
        <f>IF(P290&lt;=K290,"Reorder Required","Stock Sufficient")</f>
        <v/>
      </c>
      <c r="V290" s="102">
        <f>IF(AND(Q290=M290,(U290="Reorder Required")=(N290="Reorder Required")),"OK","Mismatch")</f>
        <v/>
      </c>
      <c r="W290" s="99" t="inlineStr">
        <is>
          <t>Restock immediately</t>
        </is>
      </c>
    </row>
    <row r="291">
      <c r="A291" s="99" t="inlineStr">
        <is>
          <t>INV00290</t>
        </is>
      </c>
      <c r="B291" s="99" t="inlineStr">
        <is>
          <t>OUT006</t>
        </is>
      </c>
      <c r="C291" s="99">
        <f>INDEX(Lookup!$B$2:$B$11,MATCH(B291,Lookup!$A$2:$A$11,0))</f>
        <v/>
      </c>
      <c r="D291" s="99" t="inlineStr">
        <is>
          <t>BP040</t>
        </is>
      </c>
      <c r="E291" s="99">
        <f>INDEX(Lookup!$E$2:$E$51,MATCH(D291,Lookup!$D$2:$D$51,0))</f>
        <v/>
      </c>
      <c r="F291" s="99">
        <f>INDEX(Lookup!$F$2:$F$51,MATCH(D291,Lookup!$D$2:$D$51,0))</f>
        <v/>
      </c>
      <c r="G291" s="100" t="n">
        <v>120</v>
      </c>
      <c r="H291" s="100" t="n">
        <v>40</v>
      </c>
      <c r="I291" s="100" t="n">
        <v>43</v>
      </c>
      <c r="J291" s="100" t="n">
        <v>4</v>
      </c>
      <c r="K291" s="100" t="n">
        <v>35</v>
      </c>
      <c r="L291" s="100" t="n">
        <v>4</v>
      </c>
      <c r="M291" s="100" t="n">
        <v>113</v>
      </c>
      <c r="N291" s="99" t="inlineStr">
        <is>
          <t>Healthy</t>
        </is>
      </c>
      <c r="O291" s="100">
        <f>G291+H291</f>
        <v/>
      </c>
      <c r="P291" s="100">
        <f>G291+H291-I291-J291</f>
        <v/>
      </c>
      <c r="Q291" s="100">
        <f>MAX(0,P291)</f>
        <v/>
      </c>
      <c r="R291" s="100">
        <f>MAX(0,-P291)</f>
        <v/>
      </c>
      <c r="S291" s="101">
        <f>IFERROR(J291/O291,0)</f>
        <v/>
      </c>
      <c r="T291" s="101">
        <f>IFERROR(I291/O291,0)</f>
        <v/>
      </c>
      <c r="U291" s="102">
        <f>IF(P291&lt;=K291,"Reorder Required","Stock Sufficient")</f>
        <v/>
      </c>
      <c r="V291" s="102">
        <f>IF(AND(Q291=M291,(U291="Reorder Required")=(N291="Reorder Required")),"OK","Mismatch")</f>
        <v/>
      </c>
      <c r="W291" s="99" t="n"/>
    </row>
    <row r="292">
      <c r="A292" s="99" t="inlineStr">
        <is>
          <t>INV00291</t>
        </is>
      </c>
      <c r="B292" s="99" t="inlineStr">
        <is>
          <t>OUT006</t>
        </is>
      </c>
      <c r="C292" s="99">
        <f>INDEX(Lookup!$B$2:$B$11,MATCH(B292,Lookup!$A$2:$A$11,0))</f>
        <v/>
      </c>
      <c r="D292" s="99" t="inlineStr">
        <is>
          <t>BP041</t>
        </is>
      </c>
      <c r="E292" s="99">
        <f>INDEX(Lookup!$E$2:$E$51,MATCH(D292,Lookup!$D$2:$D$51,0))</f>
        <v/>
      </c>
      <c r="F292" s="99">
        <f>INDEX(Lookup!$F$2:$F$51,MATCH(D292,Lookup!$D$2:$D$51,0))</f>
        <v/>
      </c>
      <c r="G292" s="100" t="n">
        <v>58</v>
      </c>
      <c r="H292" s="100" t="n">
        <v>32</v>
      </c>
      <c r="I292" s="100" t="n">
        <v>118</v>
      </c>
      <c r="J292" s="100" t="n">
        <v>2</v>
      </c>
      <c r="K292" s="100" t="n">
        <v>21</v>
      </c>
      <c r="L292" s="100" t="n">
        <v>4</v>
      </c>
      <c r="M292" s="100" t="n">
        <v>0</v>
      </c>
      <c r="N292" s="99" t="inlineStr">
        <is>
          <t>Reorder Required</t>
        </is>
      </c>
      <c r="O292" s="100">
        <f>G292+H292</f>
        <v/>
      </c>
      <c r="P292" s="100">
        <f>G292+H292-I292-J292</f>
        <v/>
      </c>
      <c r="Q292" s="100">
        <f>MAX(0,P292)</f>
        <v/>
      </c>
      <c r="R292" s="100">
        <f>MAX(0,-P292)</f>
        <v/>
      </c>
      <c r="S292" s="101">
        <f>IFERROR(J292/O292,0)</f>
        <v/>
      </c>
      <c r="T292" s="101">
        <f>IFERROR(I292/O292,0)</f>
        <v/>
      </c>
      <c r="U292" s="102">
        <f>IF(P292&lt;=K292,"Reorder Required","Stock Sufficient")</f>
        <v/>
      </c>
      <c r="V292" s="102">
        <f>IF(AND(Q292=M292,(U292="Reorder Required")=(N292="Reorder Required")),"OK","Mismatch")</f>
        <v/>
      </c>
      <c r="W292" s="99" t="inlineStr">
        <is>
          <t>Restock immediately</t>
        </is>
      </c>
    </row>
    <row r="293">
      <c r="A293" s="99" t="inlineStr">
        <is>
          <t>INV00292</t>
        </is>
      </c>
      <c r="B293" s="99" t="inlineStr">
        <is>
          <t>OUT006</t>
        </is>
      </c>
      <c r="C293" s="99">
        <f>INDEX(Lookup!$B$2:$B$11,MATCH(B293,Lookup!$A$2:$A$11,0))</f>
        <v/>
      </c>
      <c r="D293" s="99" t="inlineStr">
        <is>
          <t>BP042</t>
        </is>
      </c>
      <c r="E293" s="99">
        <f>INDEX(Lookup!$E$2:$E$51,MATCH(D293,Lookup!$D$2:$D$51,0))</f>
        <v/>
      </c>
      <c r="F293" s="99">
        <f>INDEX(Lookup!$F$2:$F$51,MATCH(D293,Lookup!$D$2:$D$51,0))</f>
        <v/>
      </c>
      <c r="G293" s="100" t="n">
        <v>133</v>
      </c>
      <c r="H293" s="100" t="n">
        <v>75</v>
      </c>
      <c r="I293" s="100" t="n">
        <v>63</v>
      </c>
      <c r="J293" s="100" t="n">
        <v>1</v>
      </c>
      <c r="K293" s="100" t="n">
        <v>34</v>
      </c>
      <c r="L293" s="100" t="n">
        <v>1</v>
      </c>
      <c r="M293" s="100" t="n">
        <v>144</v>
      </c>
      <c r="N293" s="99" t="inlineStr">
        <is>
          <t>Healthy</t>
        </is>
      </c>
      <c r="O293" s="100">
        <f>G293+H293</f>
        <v/>
      </c>
      <c r="P293" s="100">
        <f>G293+H293-I293-J293</f>
        <v/>
      </c>
      <c r="Q293" s="100">
        <f>MAX(0,P293)</f>
        <v/>
      </c>
      <c r="R293" s="100">
        <f>MAX(0,-P293)</f>
        <v/>
      </c>
      <c r="S293" s="101">
        <f>IFERROR(J293/O293,0)</f>
        <v/>
      </c>
      <c r="T293" s="101">
        <f>IFERROR(I293/O293,0)</f>
        <v/>
      </c>
      <c r="U293" s="102">
        <f>IF(P293&lt;=K293,"Reorder Required","Stock Sufficient")</f>
        <v/>
      </c>
      <c r="V293" s="102">
        <f>IF(AND(Q293=M293,(U293="Reorder Required")=(N293="Reorder Required")),"OK","Mismatch")</f>
        <v/>
      </c>
      <c r="W293" s="99" t="n"/>
    </row>
    <row r="294">
      <c r="A294" s="99" t="inlineStr">
        <is>
          <t>INV00293</t>
        </is>
      </c>
      <c r="B294" s="99" t="inlineStr">
        <is>
          <t>OUT006</t>
        </is>
      </c>
      <c r="C294" s="99">
        <f>INDEX(Lookup!$B$2:$B$11,MATCH(B294,Lookup!$A$2:$A$11,0))</f>
        <v/>
      </c>
      <c r="D294" s="99" t="inlineStr">
        <is>
          <t>BP043</t>
        </is>
      </c>
      <c r="E294" s="99">
        <f>INDEX(Lookup!$E$2:$E$51,MATCH(D294,Lookup!$D$2:$D$51,0))</f>
        <v/>
      </c>
      <c r="F294" s="99">
        <f>INDEX(Lookup!$F$2:$F$51,MATCH(D294,Lookup!$D$2:$D$51,0))</f>
        <v/>
      </c>
      <c r="G294" s="100" t="n">
        <v>114</v>
      </c>
      <c r="H294" s="100" t="n">
        <v>51</v>
      </c>
      <c r="I294" s="100" t="n">
        <v>90</v>
      </c>
      <c r="J294" s="100" t="n">
        <v>3</v>
      </c>
      <c r="K294" s="100" t="n">
        <v>35</v>
      </c>
      <c r="L294" s="100" t="n">
        <v>3</v>
      </c>
      <c r="M294" s="100" t="n">
        <v>72</v>
      </c>
      <c r="N294" s="99" t="inlineStr">
        <is>
          <t>Healthy</t>
        </is>
      </c>
      <c r="O294" s="100">
        <f>G294+H294</f>
        <v/>
      </c>
      <c r="P294" s="100">
        <f>G294+H294-I294-J294</f>
        <v/>
      </c>
      <c r="Q294" s="100">
        <f>MAX(0,P294)</f>
        <v/>
      </c>
      <c r="R294" s="100">
        <f>MAX(0,-P294)</f>
        <v/>
      </c>
      <c r="S294" s="101">
        <f>IFERROR(J294/O294,0)</f>
        <v/>
      </c>
      <c r="T294" s="101">
        <f>IFERROR(I294/O294,0)</f>
        <v/>
      </c>
      <c r="U294" s="102">
        <f>IF(P294&lt;=K294,"Reorder Required","Stock Sufficient")</f>
        <v/>
      </c>
      <c r="V294" s="102">
        <f>IF(AND(Q294=M294,(U294="Reorder Required")=(N294="Reorder Required")),"OK","Mismatch")</f>
        <v/>
      </c>
      <c r="W294" s="99" t="n"/>
    </row>
    <row r="295">
      <c r="A295" s="99" t="inlineStr">
        <is>
          <t>INV00294</t>
        </is>
      </c>
      <c r="B295" s="99" t="inlineStr">
        <is>
          <t>OUT006</t>
        </is>
      </c>
      <c r="C295" s="99">
        <f>INDEX(Lookup!$B$2:$B$11,MATCH(B295,Lookup!$A$2:$A$11,0))</f>
        <v/>
      </c>
      <c r="D295" s="99" t="inlineStr">
        <is>
          <t>BP044</t>
        </is>
      </c>
      <c r="E295" s="99">
        <f>INDEX(Lookup!$E$2:$E$51,MATCH(D295,Lookup!$D$2:$D$51,0))</f>
        <v/>
      </c>
      <c r="F295" s="99">
        <f>INDEX(Lookup!$F$2:$F$51,MATCH(D295,Lookup!$D$2:$D$51,0))</f>
        <v/>
      </c>
      <c r="G295" s="100" t="n">
        <v>43</v>
      </c>
      <c r="H295" s="100" t="n">
        <v>41</v>
      </c>
      <c r="I295" s="100" t="n">
        <v>51</v>
      </c>
      <c r="J295" s="100" t="n">
        <v>1</v>
      </c>
      <c r="K295" s="100" t="n">
        <v>39</v>
      </c>
      <c r="L295" s="100" t="n">
        <v>3</v>
      </c>
      <c r="M295" s="100" t="n">
        <v>32</v>
      </c>
      <c r="N295" s="99" t="inlineStr">
        <is>
          <t>Reorder Required</t>
        </is>
      </c>
      <c r="O295" s="100">
        <f>G295+H295</f>
        <v/>
      </c>
      <c r="P295" s="100">
        <f>G295+H295-I295-J295</f>
        <v/>
      </c>
      <c r="Q295" s="100">
        <f>MAX(0,P295)</f>
        <v/>
      </c>
      <c r="R295" s="100">
        <f>MAX(0,-P295)</f>
        <v/>
      </c>
      <c r="S295" s="101">
        <f>IFERROR(J295/O295,0)</f>
        <v/>
      </c>
      <c r="T295" s="101">
        <f>IFERROR(I295/O295,0)</f>
        <v/>
      </c>
      <c r="U295" s="102">
        <f>IF(P295&lt;=K295,"Reorder Required","Stock Sufficient")</f>
        <v/>
      </c>
      <c r="V295" s="102">
        <f>IF(AND(Q295=M295,(U295="Reorder Required")=(N295="Reorder Required")),"OK","Mismatch")</f>
        <v/>
      </c>
      <c r="W295" s="99" t="inlineStr">
        <is>
          <t>Restock immediately</t>
        </is>
      </c>
    </row>
    <row r="296">
      <c r="A296" s="99" t="inlineStr">
        <is>
          <t>INV00295</t>
        </is>
      </c>
      <c r="B296" s="99" t="inlineStr">
        <is>
          <t>OUT006</t>
        </is>
      </c>
      <c r="C296" s="99">
        <f>INDEX(Lookup!$B$2:$B$11,MATCH(B296,Lookup!$A$2:$A$11,0))</f>
        <v/>
      </c>
      <c r="D296" s="99" t="inlineStr">
        <is>
          <t>BP045</t>
        </is>
      </c>
      <c r="E296" s="99">
        <f>INDEX(Lookup!$E$2:$E$51,MATCH(D296,Lookup!$D$2:$D$51,0))</f>
        <v/>
      </c>
      <c r="F296" s="99">
        <f>INDEX(Lookup!$F$2:$F$51,MATCH(D296,Lookup!$D$2:$D$51,0))</f>
        <v/>
      </c>
      <c r="G296" s="100" t="n">
        <v>62</v>
      </c>
      <c r="H296" s="100" t="n">
        <v>66</v>
      </c>
      <c r="I296" s="100" t="n">
        <v>33</v>
      </c>
      <c r="J296" s="100" t="n">
        <v>0</v>
      </c>
      <c r="K296" s="100" t="n">
        <v>38</v>
      </c>
      <c r="L296" s="100" t="n">
        <v>5</v>
      </c>
      <c r="M296" s="100" t="n">
        <v>95</v>
      </c>
      <c r="N296" s="99" t="inlineStr">
        <is>
          <t>Healthy</t>
        </is>
      </c>
      <c r="O296" s="100">
        <f>G296+H296</f>
        <v/>
      </c>
      <c r="P296" s="100">
        <f>G296+H296-I296-J296</f>
        <v/>
      </c>
      <c r="Q296" s="100">
        <f>MAX(0,P296)</f>
        <v/>
      </c>
      <c r="R296" s="100">
        <f>MAX(0,-P296)</f>
        <v/>
      </c>
      <c r="S296" s="101">
        <f>IFERROR(J296/O296,0)</f>
        <v/>
      </c>
      <c r="T296" s="101">
        <f>IFERROR(I296/O296,0)</f>
        <v/>
      </c>
      <c r="U296" s="102">
        <f>IF(P296&lt;=K296,"Reorder Required","Stock Sufficient")</f>
        <v/>
      </c>
      <c r="V296" s="102">
        <f>IF(AND(Q296=M296,(U296="Reorder Required")=(N296="Reorder Required")),"OK","Mismatch")</f>
        <v/>
      </c>
      <c r="W296" s="99" t="n"/>
    </row>
    <row r="297">
      <c r="A297" s="99" t="inlineStr">
        <is>
          <t>INV00296</t>
        </is>
      </c>
      <c r="B297" s="99" t="inlineStr">
        <is>
          <t>OUT006</t>
        </is>
      </c>
      <c r="C297" s="99">
        <f>INDEX(Lookup!$B$2:$B$11,MATCH(B297,Lookup!$A$2:$A$11,0))</f>
        <v/>
      </c>
      <c r="D297" s="99" t="inlineStr">
        <is>
          <t>BP046</t>
        </is>
      </c>
      <c r="E297" s="99">
        <f>INDEX(Lookup!$E$2:$E$51,MATCH(D297,Lookup!$D$2:$D$51,0))</f>
        <v/>
      </c>
      <c r="F297" s="99">
        <f>INDEX(Lookup!$F$2:$F$51,MATCH(D297,Lookup!$D$2:$D$51,0))</f>
        <v/>
      </c>
      <c r="G297" s="100" t="n">
        <v>101</v>
      </c>
      <c r="H297" s="100" t="n">
        <v>35</v>
      </c>
      <c r="I297" s="100" t="n">
        <v>34</v>
      </c>
      <c r="J297" s="100" t="n">
        <v>1</v>
      </c>
      <c r="K297" s="100" t="n">
        <v>22</v>
      </c>
      <c r="L297" s="100" t="n">
        <v>3</v>
      </c>
      <c r="M297" s="100" t="n">
        <v>101</v>
      </c>
      <c r="N297" s="99" t="inlineStr">
        <is>
          <t>Healthy</t>
        </is>
      </c>
      <c r="O297" s="100">
        <f>G297+H297</f>
        <v/>
      </c>
      <c r="P297" s="100">
        <f>G297+H297-I297-J297</f>
        <v/>
      </c>
      <c r="Q297" s="100">
        <f>MAX(0,P297)</f>
        <v/>
      </c>
      <c r="R297" s="100">
        <f>MAX(0,-P297)</f>
        <v/>
      </c>
      <c r="S297" s="101">
        <f>IFERROR(J297/O297,0)</f>
        <v/>
      </c>
      <c r="T297" s="101">
        <f>IFERROR(I297/O297,0)</f>
        <v/>
      </c>
      <c r="U297" s="102">
        <f>IF(P297&lt;=K297,"Reorder Required","Stock Sufficient")</f>
        <v/>
      </c>
      <c r="V297" s="102">
        <f>IF(AND(Q297=M297,(U297="Reorder Required")=(N297="Reorder Required")),"OK","Mismatch")</f>
        <v/>
      </c>
      <c r="W297" s="99" t="n"/>
    </row>
    <row r="298">
      <c r="A298" s="99" t="inlineStr">
        <is>
          <t>INV00297</t>
        </is>
      </c>
      <c r="B298" s="99" t="inlineStr">
        <is>
          <t>OUT006</t>
        </is>
      </c>
      <c r="C298" s="99">
        <f>INDEX(Lookup!$B$2:$B$11,MATCH(B298,Lookup!$A$2:$A$11,0))</f>
        <v/>
      </c>
      <c r="D298" s="99" t="inlineStr">
        <is>
          <t>BP047</t>
        </is>
      </c>
      <c r="E298" s="99">
        <f>INDEX(Lookup!$E$2:$E$51,MATCH(D298,Lookup!$D$2:$D$51,0))</f>
        <v/>
      </c>
      <c r="F298" s="99">
        <f>INDEX(Lookup!$F$2:$F$51,MATCH(D298,Lookup!$D$2:$D$51,0))</f>
        <v/>
      </c>
      <c r="G298" s="100" t="n">
        <v>103</v>
      </c>
      <c r="H298" s="100" t="n">
        <v>95</v>
      </c>
      <c r="I298" s="100" t="n">
        <v>139</v>
      </c>
      <c r="J298" s="100" t="n">
        <v>3</v>
      </c>
      <c r="K298" s="100" t="n">
        <v>33</v>
      </c>
      <c r="L298" s="100" t="n">
        <v>2</v>
      </c>
      <c r="M298" s="100" t="n">
        <v>56</v>
      </c>
      <c r="N298" s="99" t="inlineStr">
        <is>
          <t>Healthy</t>
        </is>
      </c>
      <c r="O298" s="100">
        <f>G298+H298</f>
        <v/>
      </c>
      <c r="P298" s="100">
        <f>G298+H298-I298-J298</f>
        <v/>
      </c>
      <c r="Q298" s="100">
        <f>MAX(0,P298)</f>
        <v/>
      </c>
      <c r="R298" s="100">
        <f>MAX(0,-P298)</f>
        <v/>
      </c>
      <c r="S298" s="101">
        <f>IFERROR(J298/O298,0)</f>
        <v/>
      </c>
      <c r="T298" s="101">
        <f>IFERROR(I298/O298,0)</f>
        <v/>
      </c>
      <c r="U298" s="102">
        <f>IF(P298&lt;=K298,"Reorder Required","Stock Sufficient")</f>
        <v/>
      </c>
      <c r="V298" s="102">
        <f>IF(AND(Q298=M298,(U298="Reorder Required")=(N298="Reorder Required")),"OK","Mismatch")</f>
        <v/>
      </c>
      <c r="W298" s="99" t="n"/>
    </row>
    <row r="299">
      <c r="A299" s="99" t="inlineStr">
        <is>
          <t>INV00298</t>
        </is>
      </c>
      <c r="B299" s="99" t="inlineStr">
        <is>
          <t>OUT006</t>
        </is>
      </c>
      <c r="C299" s="99">
        <f>INDEX(Lookup!$B$2:$B$11,MATCH(B299,Lookup!$A$2:$A$11,0))</f>
        <v/>
      </c>
      <c r="D299" s="99" t="inlineStr">
        <is>
          <t>BP048</t>
        </is>
      </c>
      <c r="E299" s="99">
        <f>INDEX(Lookup!$E$2:$E$51,MATCH(D299,Lookup!$D$2:$D$51,0))</f>
        <v/>
      </c>
      <c r="F299" s="99">
        <f>INDEX(Lookup!$F$2:$F$51,MATCH(D299,Lookup!$D$2:$D$51,0))</f>
        <v/>
      </c>
      <c r="G299" s="100" t="n">
        <v>141</v>
      </c>
      <c r="H299" s="100" t="n">
        <v>76</v>
      </c>
      <c r="I299" s="100" t="n">
        <v>95</v>
      </c>
      <c r="J299" s="100" t="n">
        <v>3</v>
      </c>
      <c r="K299" s="100" t="n">
        <v>38</v>
      </c>
      <c r="L299" s="100" t="n">
        <v>4</v>
      </c>
      <c r="M299" s="100" t="n">
        <v>119</v>
      </c>
      <c r="N299" s="99" t="inlineStr">
        <is>
          <t>Healthy</t>
        </is>
      </c>
      <c r="O299" s="100">
        <f>G299+H299</f>
        <v/>
      </c>
      <c r="P299" s="100">
        <f>G299+H299-I299-J299</f>
        <v/>
      </c>
      <c r="Q299" s="100">
        <f>MAX(0,P299)</f>
        <v/>
      </c>
      <c r="R299" s="100">
        <f>MAX(0,-P299)</f>
        <v/>
      </c>
      <c r="S299" s="101">
        <f>IFERROR(J299/O299,0)</f>
        <v/>
      </c>
      <c r="T299" s="101">
        <f>IFERROR(I299/O299,0)</f>
        <v/>
      </c>
      <c r="U299" s="102">
        <f>IF(P299&lt;=K299,"Reorder Required","Stock Sufficient")</f>
        <v/>
      </c>
      <c r="V299" s="102">
        <f>IF(AND(Q299=M299,(U299="Reorder Required")=(N299="Reorder Required")),"OK","Mismatch")</f>
        <v/>
      </c>
      <c r="W299" s="99" t="n"/>
    </row>
    <row r="300">
      <c r="A300" s="99" t="inlineStr">
        <is>
          <t>INV00299</t>
        </is>
      </c>
      <c r="B300" s="99" t="inlineStr">
        <is>
          <t>OUT006</t>
        </is>
      </c>
      <c r="C300" s="99">
        <f>INDEX(Lookup!$B$2:$B$11,MATCH(B300,Lookup!$A$2:$A$11,0))</f>
        <v/>
      </c>
      <c r="D300" s="99" t="inlineStr">
        <is>
          <t>BP049</t>
        </is>
      </c>
      <c r="E300" s="99">
        <f>INDEX(Lookup!$E$2:$E$51,MATCH(D300,Lookup!$D$2:$D$51,0))</f>
        <v/>
      </c>
      <c r="F300" s="99">
        <f>INDEX(Lookup!$F$2:$F$51,MATCH(D300,Lookup!$D$2:$D$51,0))</f>
        <v/>
      </c>
      <c r="G300" s="100" t="n">
        <v>67</v>
      </c>
      <c r="H300" s="100" t="n">
        <v>23</v>
      </c>
      <c r="I300" s="100" t="n">
        <v>113</v>
      </c>
      <c r="J300" s="100" t="n">
        <v>1</v>
      </c>
      <c r="K300" s="100" t="n">
        <v>24</v>
      </c>
      <c r="L300" s="100" t="n">
        <v>1</v>
      </c>
      <c r="M300" s="100" t="n">
        <v>0</v>
      </c>
      <c r="N300" s="99" t="inlineStr">
        <is>
          <t>Reorder Required</t>
        </is>
      </c>
      <c r="O300" s="100">
        <f>G300+H300</f>
        <v/>
      </c>
      <c r="P300" s="100">
        <f>G300+H300-I300-J300</f>
        <v/>
      </c>
      <c r="Q300" s="100">
        <f>MAX(0,P300)</f>
        <v/>
      </c>
      <c r="R300" s="100">
        <f>MAX(0,-P300)</f>
        <v/>
      </c>
      <c r="S300" s="101">
        <f>IFERROR(J300/O300,0)</f>
        <v/>
      </c>
      <c r="T300" s="101">
        <f>IFERROR(I300/O300,0)</f>
        <v/>
      </c>
      <c r="U300" s="102">
        <f>IF(P300&lt;=K300,"Reorder Required","Stock Sufficient")</f>
        <v/>
      </c>
      <c r="V300" s="102">
        <f>IF(AND(Q300=M300,(U300="Reorder Required")=(N300="Reorder Required")),"OK","Mismatch")</f>
        <v/>
      </c>
      <c r="W300" s="99" t="inlineStr">
        <is>
          <t>Restock immediately</t>
        </is>
      </c>
    </row>
    <row r="301">
      <c r="A301" s="99" t="inlineStr">
        <is>
          <t>INV00300</t>
        </is>
      </c>
      <c r="B301" s="99" t="inlineStr">
        <is>
          <t>OUT006</t>
        </is>
      </c>
      <c r="C301" s="99">
        <f>INDEX(Lookup!$B$2:$B$11,MATCH(B301,Lookup!$A$2:$A$11,0))</f>
        <v/>
      </c>
      <c r="D301" s="99" t="inlineStr">
        <is>
          <t>BP050</t>
        </is>
      </c>
      <c r="E301" s="99">
        <f>INDEX(Lookup!$E$2:$E$51,MATCH(D301,Lookup!$D$2:$D$51,0))</f>
        <v/>
      </c>
      <c r="F301" s="99">
        <f>INDEX(Lookup!$F$2:$F$51,MATCH(D301,Lookup!$D$2:$D$51,0))</f>
        <v/>
      </c>
      <c r="G301" s="100" t="n">
        <v>81</v>
      </c>
      <c r="H301" s="100" t="n">
        <v>76</v>
      </c>
      <c r="I301" s="100" t="n">
        <v>60</v>
      </c>
      <c r="J301" s="100" t="n">
        <v>0</v>
      </c>
      <c r="K301" s="100" t="n">
        <v>36</v>
      </c>
      <c r="L301" s="100" t="n">
        <v>4</v>
      </c>
      <c r="M301" s="100" t="n">
        <v>97</v>
      </c>
      <c r="N301" s="99" t="inlineStr">
        <is>
          <t>Healthy</t>
        </is>
      </c>
      <c r="O301" s="100">
        <f>G301+H301</f>
        <v/>
      </c>
      <c r="P301" s="100">
        <f>G301+H301-I301-J301</f>
        <v/>
      </c>
      <c r="Q301" s="100">
        <f>MAX(0,P301)</f>
        <v/>
      </c>
      <c r="R301" s="100">
        <f>MAX(0,-P301)</f>
        <v/>
      </c>
      <c r="S301" s="101">
        <f>IFERROR(J301/O301,0)</f>
        <v/>
      </c>
      <c r="T301" s="101">
        <f>IFERROR(I301/O301,0)</f>
        <v/>
      </c>
      <c r="U301" s="102">
        <f>IF(P301&lt;=K301,"Reorder Required","Stock Sufficient")</f>
        <v/>
      </c>
      <c r="V301" s="102">
        <f>IF(AND(Q301=M301,(U301="Reorder Required")=(N301="Reorder Required")),"OK","Mismatch")</f>
        <v/>
      </c>
      <c r="W301" s="99" t="n"/>
    </row>
    <row r="302">
      <c r="A302" s="99" t="inlineStr">
        <is>
          <t>INV00301</t>
        </is>
      </c>
      <c r="B302" s="99" t="inlineStr">
        <is>
          <t>OUT007</t>
        </is>
      </c>
      <c r="C302" s="99">
        <f>INDEX(Lookup!$B$2:$B$11,MATCH(B302,Lookup!$A$2:$A$11,0))</f>
        <v/>
      </c>
      <c r="D302" s="99" t="inlineStr">
        <is>
          <t>BP001</t>
        </is>
      </c>
      <c r="E302" s="99">
        <f>INDEX(Lookup!$E$2:$E$51,MATCH(D302,Lookup!$D$2:$D$51,0))</f>
        <v/>
      </c>
      <c r="F302" s="99">
        <f>INDEX(Lookup!$F$2:$F$51,MATCH(D302,Lookup!$D$2:$D$51,0))</f>
        <v/>
      </c>
      <c r="G302" s="100" t="n">
        <v>100</v>
      </c>
      <c r="H302" s="100" t="n">
        <v>52</v>
      </c>
      <c r="I302" s="100" t="n">
        <v>49</v>
      </c>
      <c r="J302" s="100" t="n">
        <v>2</v>
      </c>
      <c r="K302" s="100" t="n">
        <v>26</v>
      </c>
      <c r="L302" s="100" t="n">
        <v>4</v>
      </c>
      <c r="M302" s="100" t="n">
        <v>101</v>
      </c>
      <c r="N302" s="99" t="inlineStr">
        <is>
          <t>Healthy</t>
        </is>
      </c>
      <c r="O302" s="100">
        <f>G302+H302</f>
        <v/>
      </c>
      <c r="P302" s="100">
        <f>G302+H302-I302-J302</f>
        <v/>
      </c>
      <c r="Q302" s="100">
        <f>MAX(0,P302)</f>
        <v/>
      </c>
      <c r="R302" s="100">
        <f>MAX(0,-P302)</f>
        <v/>
      </c>
      <c r="S302" s="101">
        <f>IFERROR(J302/O302,0)</f>
        <v/>
      </c>
      <c r="T302" s="101">
        <f>IFERROR(I302/O302,0)</f>
        <v/>
      </c>
      <c r="U302" s="102">
        <f>IF(P302&lt;=K302,"Reorder Required","Stock Sufficient")</f>
        <v/>
      </c>
      <c r="V302" s="102">
        <f>IF(AND(Q302=M302,(U302="Reorder Required")=(N302="Reorder Required")),"OK","Mismatch")</f>
        <v/>
      </c>
      <c r="W302" s="99" t="n"/>
    </row>
    <row r="303">
      <c r="A303" s="99" t="inlineStr">
        <is>
          <t>INV00302</t>
        </is>
      </c>
      <c r="B303" s="99" t="inlineStr">
        <is>
          <t>OUT007</t>
        </is>
      </c>
      <c r="C303" s="99">
        <f>INDEX(Lookup!$B$2:$B$11,MATCH(B303,Lookup!$A$2:$A$11,0))</f>
        <v/>
      </c>
      <c r="D303" s="99" t="inlineStr">
        <is>
          <t>BP002</t>
        </is>
      </c>
      <c r="E303" s="99">
        <f>INDEX(Lookup!$E$2:$E$51,MATCH(D303,Lookup!$D$2:$D$51,0))</f>
        <v/>
      </c>
      <c r="F303" s="99">
        <f>INDEX(Lookup!$F$2:$F$51,MATCH(D303,Lookup!$D$2:$D$51,0))</f>
        <v/>
      </c>
      <c r="G303" s="100" t="n">
        <v>93</v>
      </c>
      <c r="H303" s="100" t="n">
        <v>75</v>
      </c>
      <c r="I303" s="100" t="n">
        <v>81</v>
      </c>
      <c r="J303" s="100" t="n">
        <v>3</v>
      </c>
      <c r="K303" s="100" t="n">
        <v>35</v>
      </c>
      <c r="L303" s="100" t="n">
        <v>4</v>
      </c>
      <c r="M303" s="100" t="n">
        <v>84</v>
      </c>
      <c r="N303" s="99" t="inlineStr">
        <is>
          <t>Healthy</t>
        </is>
      </c>
      <c r="O303" s="100">
        <f>G303+H303</f>
        <v/>
      </c>
      <c r="P303" s="100">
        <f>G303+H303-I303-J303</f>
        <v/>
      </c>
      <c r="Q303" s="100">
        <f>MAX(0,P303)</f>
        <v/>
      </c>
      <c r="R303" s="100">
        <f>MAX(0,-P303)</f>
        <v/>
      </c>
      <c r="S303" s="101">
        <f>IFERROR(J303/O303,0)</f>
        <v/>
      </c>
      <c r="T303" s="101">
        <f>IFERROR(I303/O303,0)</f>
        <v/>
      </c>
      <c r="U303" s="102">
        <f>IF(P303&lt;=K303,"Reorder Required","Stock Sufficient")</f>
        <v/>
      </c>
      <c r="V303" s="102">
        <f>IF(AND(Q303=M303,(U303="Reorder Required")=(N303="Reorder Required")),"OK","Mismatch")</f>
        <v/>
      </c>
      <c r="W303" s="99" t="n"/>
    </row>
    <row r="304">
      <c r="A304" s="99" t="inlineStr">
        <is>
          <t>INV00303</t>
        </is>
      </c>
      <c r="B304" s="99" t="inlineStr">
        <is>
          <t>OUT007</t>
        </is>
      </c>
      <c r="C304" s="99">
        <f>INDEX(Lookup!$B$2:$B$11,MATCH(B304,Lookup!$A$2:$A$11,0))</f>
        <v/>
      </c>
      <c r="D304" s="99" t="inlineStr">
        <is>
          <t>BP003</t>
        </is>
      </c>
      <c r="E304" s="99">
        <f>INDEX(Lookup!$E$2:$E$51,MATCH(D304,Lookup!$D$2:$D$51,0))</f>
        <v/>
      </c>
      <c r="F304" s="99">
        <f>INDEX(Lookup!$F$2:$F$51,MATCH(D304,Lookup!$D$2:$D$51,0))</f>
        <v/>
      </c>
      <c r="G304" s="100" t="n">
        <v>67</v>
      </c>
      <c r="H304" s="100" t="n">
        <v>91</v>
      </c>
      <c r="I304" s="100" t="n">
        <v>58</v>
      </c>
      <c r="J304" s="100" t="n">
        <v>3</v>
      </c>
      <c r="K304" s="100" t="n">
        <v>25</v>
      </c>
      <c r="L304" s="100" t="n">
        <v>1</v>
      </c>
      <c r="M304" s="100" t="n">
        <v>97</v>
      </c>
      <c r="N304" s="99" t="inlineStr">
        <is>
          <t>Healthy</t>
        </is>
      </c>
      <c r="O304" s="100">
        <f>G304+H304</f>
        <v/>
      </c>
      <c r="P304" s="100">
        <f>G304+H304-I304-J304</f>
        <v/>
      </c>
      <c r="Q304" s="100">
        <f>MAX(0,P304)</f>
        <v/>
      </c>
      <c r="R304" s="100">
        <f>MAX(0,-P304)</f>
        <v/>
      </c>
      <c r="S304" s="101">
        <f>IFERROR(J304/O304,0)</f>
        <v/>
      </c>
      <c r="T304" s="101">
        <f>IFERROR(I304/O304,0)</f>
        <v/>
      </c>
      <c r="U304" s="102">
        <f>IF(P304&lt;=K304,"Reorder Required","Stock Sufficient")</f>
        <v/>
      </c>
      <c r="V304" s="102">
        <f>IF(AND(Q304=M304,(U304="Reorder Required")=(N304="Reorder Required")),"OK","Mismatch")</f>
        <v/>
      </c>
      <c r="W304" s="99" t="n"/>
    </row>
    <row r="305">
      <c r="A305" s="99" t="inlineStr">
        <is>
          <t>INV00304</t>
        </is>
      </c>
      <c r="B305" s="99" t="inlineStr">
        <is>
          <t>OUT007</t>
        </is>
      </c>
      <c r="C305" s="99">
        <f>INDEX(Lookup!$B$2:$B$11,MATCH(B305,Lookup!$A$2:$A$11,0))</f>
        <v/>
      </c>
      <c r="D305" s="99" t="inlineStr">
        <is>
          <t>BP004</t>
        </is>
      </c>
      <c r="E305" s="99">
        <f>INDEX(Lookup!$E$2:$E$51,MATCH(D305,Lookup!$D$2:$D$51,0))</f>
        <v/>
      </c>
      <c r="F305" s="99">
        <f>INDEX(Lookup!$F$2:$F$51,MATCH(D305,Lookup!$D$2:$D$51,0))</f>
        <v/>
      </c>
      <c r="G305" s="100" t="n">
        <v>113</v>
      </c>
      <c r="H305" s="100" t="n">
        <v>53</v>
      </c>
      <c r="I305" s="100" t="n">
        <v>101</v>
      </c>
      <c r="J305" s="100" t="n">
        <v>2</v>
      </c>
      <c r="K305" s="100" t="n">
        <v>35</v>
      </c>
      <c r="L305" s="100" t="n">
        <v>3</v>
      </c>
      <c r="M305" s="100" t="n">
        <v>63</v>
      </c>
      <c r="N305" s="99" t="inlineStr">
        <is>
          <t>Healthy</t>
        </is>
      </c>
      <c r="O305" s="100">
        <f>G305+H305</f>
        <v/>
      </c>
      <c r="P305" s="100">
        <f>G305+H305-I305-J305</f>
        <v/>
      </c>
      <c r="Q305" s="100">
        <f>MAX(0,P305)</f>
        <v/>
      </c>
      <c r="R305" s="100">
        <f>MAX(0,-P305)</f>
        <v/>
      </c>
      <c r="S305" s="101">
        <f>IFERROR(J305/O305,0)</f>
        <v/>
      </c>
      <c r="T305" s="101">
        <f>IFERROR(I305/O305,0)</f>
        <v/>
      </c>
      <c r="U305" s="102">
        <f>IF(P305&lt;=K305,"Reorder Required","Stock Sufficient")</f>
        <v/>
      </c>
      <c r="V305" s="102">
        <f>IF(AND(Q305=M305,(U305="Reorder Required")=(N305="Reorder Required")),"OK","Mismatch")</f>
        <v/>
      </c>
      <c r="W305" s="99" t="n"/>
    </row>
    <row r="306">
      <c r="A306" s="99" t="inlineStr">
        <is>
          <t>INV00305</t>
        </is>
      </c>
      <c r="B306" s="99" t="inlineStr">
        <is>
          <t>OUT007</t>
        </is>
      </c>
      <c r="C306" s="99">
        <f>INDEX(Lookup!$B$2:$B$11,MATCH(B306,Lookup!$A$2:$A$11,0))</f>
        <v/>
      </c>
      <c r="D306" s="99" t="inlineStr">
        <is>
          <t>BP005</t>
        </is>
      </c>
      <c r="E306" s="99">
        <f>INDEX(Lookup!$E$2:$E$51,MATCH(D306,Lookup!$D$2:$D$51,0))</f>
        <v/>
      </c>
      <c r="F306" s="99">
        <f>INDEX(Lookup!$F$2:$F$51,MATCH(D306,Lookup!$D$2:$D$51,0))</f>
        <v/>
      </c>
      <c r="G306" s="100" t="n">
        <v>101</v>
      </c>
      <c r="H306" s="100" t="n">
        <v>67</v>
      </c>
      <c r="I306" s="100" t="n">
        <v>63</v>
      </c>
      <c r="J306" s="100" t="n">
        <v>1</v>
      </c>
      <c r="K306" s="100" t="n">
        <v>39</v>
      </c>
      <c r="L306" s="100" t="n">
        <v>5</v>
      </c>
      <c r="M306" s="100" t="n">
        <v>104</v>
      </c>
      <c r="N306" s="99" t="inlineStr">
        <is>
          <t>Healthy</t>
        </is>
      </c>
      <c r="O306" s="100">
        <f>G306+H306</f>
        <v/>
      </c>
      <c r="P306" s="100">
        <f>G306+H306-I306-J306</f>
        <v/>
      </c>
      <c r="Q306" s="100">
        <f>MAX(0,P306)</f>
        <v/>
      </c>
      <c r="R306" s="100">
        <f>MAX(0,-P306)</f>
        <v/>
      </c>
      <c r="S306" s="101">
        <f>IFERROR(J306/O306,0)</f>
        <v/>
      </c>
      <c r="T306" s="101">
        <f>IFERROR(I306/O306,0)</f>
        <v/>
      </c>
      <c r="U306" s="102">
        <f>IF(P306&lt;=K306,"Reorder Required","Stock Sufficient")</f>
        <v/>
      </c>
      <c r="V306" s="102">
        <f>IF(AND(Q306=M306,(U306="Reorder Required")=(N306="Reorder Required")),"OK","Mismatch")</f>
        <v/>
      </c>
      <c r="W306" s="99" t="n"/>
    </row>
    <row r="307">
      <c r="A307" s="99" t="inlineStr">
        <is>
          <t>INV00306</t>
        </is>
      </c>
      <c r="B307" s="99" t="inlineStr">
        <is>
          <t>OUT007</t>
        </is>
      </c>
      <c r="C307" s="99">
        <f>INDEX(Lookup!$B$2:$B$11,MATCH(B307,Lookup!$A$2:$A$11,0))</f>
        <v/>
      </c>
      <c r="D307" s="99" t="inlineStr">
        <is>
          <t>BP006</t>
        </is>
      </c>
      <c r="E307" s="99">
        <f>INDEX(Lookup!$E$2:$E$51,MATCH(D307,Lookup!$D$2:$D$51,0))</f>
        <v/>
      </c>
      <c r="F307" s="99">
        <f>INDEX(Lookup!$F$2:$F$51,MATCH(D307,Lookup!$D$2:$D$51,0))</f>
        <v/>
      </c>
      <c r="G307" s="100" t="n">
        <v>138</v>
      </c>
      <c r="H307" s="100" t="n">
        <v>33</v>
      </c>
      <c r="I307" s="100" t="n">
        <v>31</v>
      </c>
      <c r="J307" s="100" t="n">
        <v>0</v>
      </c>
      <c r="K307" s="100" t="n">
        <v>36</v>
      </c>
      <c r="L307" s="100" t="n">
        <v>4</v>
      </c>
      <c r="M307" s="100" t="n">
        <v>140</v>
      </c>
      <c r="N307" s="99" t="inlineStr">
        <is>
          <t>Healthy</t>
        </is>
      </c>
      <c r="O307" s="100">
        <f>G307+H307</f>
        <v/>
      </c>
      <c r="P307" s="100">
        <f>G307+H307-I307-J307</f>
        <v/>
      </c>
      <c r="Q307" s="100">
        <f>MAX(0,P307)</f>
        <v/>
      </c>
      <c r="R307" s="100">
        <f>MAX(0,-P307)</f>
        <v/>
      </c>
      <c r="S307" s="101">
        <f>IFERROR(J307/O307,0)</f>
        <v/>
      </c>
      <c r="T307" s="101">
        <f>IFERROR(I307/O307,0)</f>
        <v/>
      </c>
      <c r="U307" s="102">
        <f>IF(P307&lt;=K307,"Reorder Required","Stock Sufficient")</f>
        <v/>
      </c>
      <c r="V307" s="102">
        <f>IF(AND(Q307=M307,(U307="Reorder Required")=(N307="Reorder Required")),"OK","Mismatch")</f>
        <v/>
      </c>
      <c r="W307" s="99" t="n"/>
    </row>
    <row r="308">
      <c r="A308" s="99" t="inlineStr">
        <is>
          <t>INV00307</t>
        </is>
      </c>
      <c r="B308" s="99" t="inlineStr">
        <is>
          <t>OUT007</t>
        </is>
      </c>
      <c r="C308" s="99">
        <f>INDEX(Lookup!$B$2:$B$11,MATCH(B308,Lookup!$A$2:$A$11,0))</f>
        <v/>
      </c>
      <c r="D308" s="99" t="inlineStr">
        <is>
          <t>BP007</t>
        </is>
      </c>
      <c r="E308" s="99">
        <f>INDEX(Lookup!$E$2:$E$51,MATCH(D308,Lookup!$D$2:$D$51,0))</f>
        <v/>
      </c>
      <c r="F308" s="99">
        <f>INDEX(Lookup!$F$2:$F$51,MATCH(D308,Lookup!$D$2:$D$51,0))</f>
        <v/>
      </c>
      <c r="G308" s="100" t="n">
        <v>87</v>
      </c>
      <c r="H308" s="100" t="n">
        <v>64</v>
      </c>
      <c r="I308" s="100" t="n">
        <v>59</v>
      </c>
      <c r="J308" s="100" t="n">
        <v>1</v>
      </c>
      <c r="K308" s="100" t="n">
        <v>29</v>
      </c>
      <c r="L308" s="100" t="n">
        <v>1</v>
      </c>
      <c r="M308" s="100" t="n">
        <v>91</v>
      </c>
      <c r="N308" s="99" t="inlineStr">
        <is>
          <t>Healthy</t>
        </is>
      </c>
      <c r="O308" s="100">
        <f>G308+H308</f>
        <v/>
      </c>
      <c r="P308" s="100">
        <f>G308+H308-I308-J308</f>
        <v/>
      </c>
      <c r="Q308" s="100">
        <f>MAX(0,P308)</f>
        <v/>
      </c>
      <c r="R308" s="100">
        <f>MAX(0,-P308)</f>
        <v/>
      </c>
      <c r="S308" s="101">
        <f>IFERROR(J308/O308,0)</f>
        <v/>
      </c>
      <c r="T308" s="101">
        <f>IFERROR(I308/O308,0)</f>
        <v/>
      </c>
      <c r="U308" s="102">
        <f>IF(P308&lt;=K308,"Reorder Required","Stock Sufficient")</f>
        <v/>
      </c>
      <c r="V308" s="102">
        <f>IF(AND(Q308=M308,(U308="Reorder Required")=(N308="Reorder Required")),"OK","Mismatch")</f>
        <v/>
      </c>
      <c r="W308" s="99" t="n"/>
    </row>
    <row r="309">
      <c r="A309" s="99" t="inlineStr">
        <is>
          <t>INV00308</t>
        </is>
      </c>
      <c r="B309" s="99" t="inlineStr">
        <is>
          <t>OUT007</t>
        </is>
      </c>
      <c r="C309" s="99">
        <f>INDEX(Lookup!$B$2:$B$11,MATCH(B309,Lookup!$A$2:$A$11,0))</f>
        <v/>
      </c>
      <c r="D309" s="99" t="inlineStr">
        <is>
          <t>BP008</t>
        </is>
      </c>
      <c r="E309" s="99">
        <f>INDEX(Lookup!$E$2:$E$51,MATCH(D309,Lookup!$D$2:$D$51,0))</f>
        <v/>
      </c>
      <c r="F309" s="99">
        <f>INDEX(Lookup!$F$2:$F$51,MATCH(D309,Lookup!$D$2:$D$51,0))</f>
        <v/>
      </c>
      <c r="G309" s="100" t="n">
        <v>79</v>
      </c>
      <c r="H309" s="100" t="n">
        <v>46</v>
      </c>
      <c r="I309" s="100" t="n">
        <v>86</v>
      </c>
      <c r="J309" s="100" t="n">
        <v>0</v>
      </c>
      <c r="K309" s="100" t="n">
        <v>25</v>
      </c>
      <c r="L309" s="100" t="n">
        <v>1</v>
      </c>
      <c r="M309" s="100" t="n">
        <v>39</v>
      </c>
      <c r="N309" s="99" t="inlineStr">
        <is>
          <t>Healthy</t>
        </is>
      </c>
      <c r="O309" s="100">
        <f>G309+H309</f>
        <v/>
      </c>
      <c r="P309" s="100">
        <f>G309+H309-I309-J309</f>
        <v/>
      </c>
      <c r="Q309" s="100">
        <f>MAX(0,P309)</f>
        <v/>
      </c>
      <c r="R309" s="100">
        <f>MAX(0,-P309)</f>
        <v/>
      </c>
      <c r="S309" s="101">
        <f>IFERROR(J309/O309,0)</f>
        <v/>
      </c>
      <c r="T309" s="101">
        <f>IFERROR(I309/O309,0)</f>
        <v/>
      </c>
      <c r="U309" s="102">
        <f>IF(P309&lt;=K309,"Reorder Required","Stock Sufficient")</f>
        <v/>
      </c>
      <c r="V309" s="102">
        <f>IF(AND(Q309=M309,(U309="Reorder Required")=(N309="Reorder Required")),"OK","Mismatch")</f>
        <v/>
      </c>
      <c r="W309" s="99" t="n"/>
    </row>
    <row r="310">
      <c r="A310" s="99" t="inlineStr">
        <is>
          <t>INV00309</t>
        </is>
      </c>
      <c r="B310" s="99" t="inlineStr">
        <is>
          <t>OUT007</t>
        </is>
      </c>
      <c r="C310" s="99">
        <f>INDEX(Lookup!$B$2:$B$11,MATCH(B310,Lookup!$A$2:$A$11,0))</f>
        <v/>
      </c>
      <c r="D310" s="99" t="inlineStr">
        <is>
          <t>BP009</t>
        </is>
      </c>
      <c r="E310" s="99">
        <f>INDEX(Lookup!$E$2:$E$51,MATCH(D310,Lookup!$D$2:$D$51,0))</f>
        <v/>
      </c>
      <c r="F310" s="99">
        <f>INDEX(Lookup!$F$2:$F$51,MATCH(D310,Lookup!$D$2:$D$51,0))</f>
        <v/>
      </c>
      <c r="G310" s="100" t="n">
        <v>127</v>
      </c>
      <c r="H310" s="100" t="n">
        <v>99</v>
      </c>
      <c r="I310" s="100" t="n">
        <v>43</v>
      </c>
      <c r="J310" s="100" t="n">
        <v>3</v>
      </c>
      <c r="K310" s="100" t="n">
        <v>23</v>
      </c>
      <c r="L310" s="100" t="n">
        <v>5</v>
      </c>
      <c r="M310" s="100" t="n">
        <v>180</v>
      </c>
      <c r="N310" s="99" t="inlineStr">
        <is>
          <t>Healthy</t>
        </is>
      </c>
      <c r="O310" s="100">
        <f>G310+H310</f>
        <v/>
      </c>
      <c r="P310" s="100">
        <f>G310+H310-I310-J310</f>
        <v/>
      </c>
      <c r="Q310" s="100">
        <f>MAX(0,P310)</f>
        <v/>
      </c>
      <c r="R310" s="100">
        <f>MAX(0,-P310)</f>
        <v/>
      </c>
      <c r="S310" s="101">
        <f>IFERROR(J310/O310,0)</f>
        <v/>
      </c>
      <c r="T310" s="101">
        <f>IFERROR(I310/O310,0)</f>
        <v/>
      </c>
      <c r="U310" s="102">
        <f>IF(P310&lt;=K310,"Reorder Required","Stock Sufficient")</f>
        <v/>
      </c>
      <c r="V310" s="102">
        <f>IF(AND(Q310=M310,(U310="Reorder Required")=(N310="Reorder Required")),"OK","Mismatch")</f>
        <v/>
      </c>
      <c r="W310" s="99" t="n"/>
    </row>
    <row r="311">
      <c r="A311" s="99" t="inlineStr">
        <is>
          <t>INV00310</t>
        </is>
      </c>
      <c r="B311" s="99" t="inlineStr">
        <is>
          <t>OUT007</t>
        </is>
      </c>
      <c r="C311" s="99">
        <f>INDEX(Lookup!$B$2:$B$11,MATCH(B311,Lookup!$A$2:$A$11,0))</f>
        <v/>
      </c>
      <c r="D311" s="99" t="inlineStr">
        <is>
          <t>BP010</t>
        </is>
      </c>
      <c r="E311" s="99">
        <f>INDEX(Lookup!$E$2:$E$51,MATCH(D311,Lookup!$D$2:$D$51,0))</f>
        <v/>
      </c>
      <c r="F311" s="99">
        <f>INDEX(Lookup!$F$2:$F$51,MATCH(D311,Lookup!$D$2:$D$51,0))</f>
        <v/>
      </c>
      <c r="G311" s="100" t="n">
        <v>137</v>
      </c>
      <c r="H311" s="100" t="n">
        <v>68</v>
      </c>
      <c r="I311" s="100" t="n">
        <v>131</v>
      </c>
      <c r="J311" s="100" t="n">
        <v>2</v>
      </c>
      <c r="K311" s="100" t="n">
        <v>36</v>
      </c>
      <c r="L311" s="100" t="n">
        <v>4</v>
      </c>
      <c r="M311" s="100" t="n">
        <v>72</v>
      </c>
      <c r="N311" s="99" t="inlineStr">
        <is>
          <t>Healthy</t>
        </is>
      </c>
      <c r="O311" s="100">
        <f>G311+H311</f>
        <v/>
      </c>
      <c r="P311" s="100">
        <f>G311+H311-I311-J311</f>
        <v/>
      </c>
      <c r="Q311" s="100">
        <f>MAX(0,P311)</f>
        <v/>
      </c>
      <c r="R311" s="100">
        <f>MAX(0,-P311)</f>
        <v/>
      </c>
      <c r="S311" s="101">
        <f>IFERROR(J311/O311,0)</f>
        <v/>
      </c>
      <c r="T311" s="101">
        <f>IFERROR(I311/O311,0)</f>
        <v/>
      </c>
      <c r="U311" s="102">
        <f>IF(P311&lt;=K311,"Reorder Required","Stock Sufficient")</f>
        <v/>
      </c>
      <c r="V311" s="102">
        <f>IF(AND(Q311=M311,(U311="Reorder Required")=(N311="Reorder Required")),"OK","Mismatch")</f>
        <v/>
      </c>
      <c r="W311" s="99" t="n"/>
    </row>
    <row r="312">
      <c r="A312" s="99" t="inlineStr">
        <is>
          <t>INV00311</t>
        </is>
      </c>
      <c r="B312" s="99" t="inlineStr">
        <is>
          <t>OUT007</t>
        </is>
      </c>
      <c r="C312" s="99">
        <f>INDEX(Lookup!$B$2:$B$11,MATCH(B312,Lookup!$A$2:$A$11,0))</f>
        <v/>
      </c>
      <c r="D312" s="99" t="inlineStr">
        <is>
          <t>BP011</t>
        </is>
      </c>
      <c r="E312" s="99">
        <f>INDEX(Lookup!$E$2:$E$51,MATCH(D312,Lookup!$D$2:$D$51,0))</f>
        <v/>
      </c>
      <c r="F312" s="99">
        <f>INDEX(Lookup!$F$2:$F$51,MATCH(D312,Lookup!$D$2:$D$51,0))</f>
        <v/>
      </c>
      <c r="G312" s="100" t="n">
        <v>83</v>
      </c>
      <c r="H312" s="100" t="n">
        <v>79</v>
      </c>
      <c r="I312" s="100" t="n">
        <v>129</v>
      </c>
      <c r="J312" s="100" t="n">
        <v>1</v>
      </c>
      <c r="K312" s="100" t="n">
        <v>15</v>
      </c>
      <c r="L312" s="100" t="n">
        <v>2</v>
      </c>
      <c r="M312" s="100" t="n">
        <v>32</v>
      </c>
      <c r="N312" s="99" t="inlineStr">
        <is>
          <t>Healthy</t>
        </is>
      </c>
      <c r="O312" s="100">
        <f>G312+H312</f>
        <v/>
      </c>
      <c r="P312" s="100">
        <f>G312+H312-I312-J312</f>
        <v/>
      </c>
      <c r="Q312" s="100">
        <f>MAX(0,P312)</f>
        <v/>
      </c>
      <c r="R312" s="100">
        <f>MAX(0,-P312)</f>
        <v/>
      </c>
      <c r="S312" s="101">
        <f>IFERROR(J312/O312,0)</f>
        <v/>
      </c>
      <c r="T312" s="101">
        <f>IFERROR(I312/O312,0)</f>
        <v/>
      </c>
      <c r="U312" s="102">
        <f>IF(P312&lt;=K312,"Reorder Required","Stock Sufficient")</f>
        <v/>
      </c>
      <c r="V312" s="102">
        <f>IF(AND(Q312=M312,(U312="Reorder Required")=(N312="Reorder Required")),"OK","Mismatch")</f>
        <v/>
      </c>
      <c r="W312" s="99" t="n"/>
    </row>
    <row r="313">
      <c r="A313" s="99" t="inlineStr">
        <is>
          <t>INV00312</t>
        </is>
      </c>
      <c r="B313" s="99" t="inlineStr">
        <is>
          <t>OUT007</t>
        </is>
      </c>
      <c r="C313" s="99">
        <f>INDEX(Lookup!$B$2:$B$11,MATCH(B313,Lookup!$A$2:$A$11,0))</f>
        <v/>
      </c>
      <c r="D313" s="99" t="inlineStr">
        <is>
          <t>BP012</t>
        </is>
      </c>
      <c r="E313" s="99">
        <f>INDEX(Lookup!$E$2:$E$51,MATCH(D313,Lookup!$D$2:$D$51,0))</f>
        <v/>
      </c>
      <c r="F313" s="99">
        <f>INDEX(Lookup!$F$2:$F$51,MATCH(D313,Lookup!$D$2:$D$51,0))</f>
        <v/>
      </c>
      <c r="G313" s="100" t="n">
        <v>137</v>
      </c>
      <c r="H313" s="100" t="n">
        <v>67</v>
      </c>
      <c r="I313" s="100" t="n">
        <v>71</v>
      </c>
      <c r="J313" s="100" t="n">
        <v>1</v>
      </c>
      <c r="K313" s="100" t="n">
        <v>17</v>
      </c>
      <c r="L313" s="100" t="n">
        <v>4</v>
      </c>
      <c r="M313" s="100" t="n">
        <v>132</v>
      </c>
      <c r="N313" s="99" t="inlineStr">
        <is>
          <t>Healthy</t>
        </is>
      </c>
      <c r="O313" s="100">
        <f>G313+H313</f>
        <v/>
      </c>
      <c r="P313" s="100">
        <f>G313+H313-I313-J313</f>
        <v/>
      </c>
      <c r="Q313" s="100">
        <f>MAX(0,P313)</f>
        <v/>
      </c>
      <c r="R313" s="100">
        <f>MAX(0,-P313)</f>
        <v/>
      </c>
      <c r="S313" s="101">
        <f>IFERROR(J313/O313,0)</f>
        <v/>
      </c>
      <c r="T313" s="101">
        <f>IFERROR(I313/O313,0)</f>
        <v/>
      </c>
      <c r="U313" s="102">
        <f>IF(P313&lt;=K313,"Reorder Required","Stock Sufficient")</f>
        <v/>
      </c>
      <c r="V313" s="102">
        <f>IF(AND(Q313=M313,(U313="Reorder Required")=(N313="Reorder Required")),"OK","Mismatch")</f>
        <v/>
      </c>
      <c r="W313" s="99" t="n"/>
    </row>
    <row r="314">
      <c r="A314" s="99" t="inlineStr">
        <is>
          <t>INV00313</t>
        </is>
      </c>
      <c r="B314" s="99" t="inlineStr">
        <is>
          <t>OUT007</t>
        </is>
      </c>
      <c r="C314" s="99">
        <f>INDEX(Lookup!$B$2:$B$11,MATCH(B314,Lookup!$A$2:$A$11,0))</f>
        <v/>
      </c>
      <c r="D314" s="99" t="inlineStr">
        <is>
          <t>BP013</t>
        </is>
      </c>
      <c r="E314" s="99">
        <f>INDEX(Lookup!$E$2:$E$51,MATCH(D314,Lookup!$D$2:$D$51,0))</f>
        <v/>
      </c>
      <c r="F314" s="99">
        <f>INDEX(Lookup!$F$2:$F$51,MATCH(D314,Lookup!$D$2:$D$51,0))</f>
        <v/>
      </c>
      <c r="G314" s="100" t="n">
        <v>73</v>
      </c>
      <c r="H314" s="100" t="n">
        <v>44</v>
      </c>
      <c r="I314" s="100" t="n">
        <v>72</v>
      </c>
      <c r="J314" s="100" t="n">
        <v>3</v>
      </c>
      <c r="K314" s="100" t="n">
        <v>23</v>
      </c>
      <c r="L314" s="100" t="n">
        <v>5</v>
      </c>
      <c r="M314" s="100" t="n">
        <v>42</v>
      </c>
      <c r="N314" s="99" t="inlineStr">
        <is>
          <t>Healthy</t>
        </is>
      </c>
      <c r="O314" s="100">
        <f>G314+H314</f>
        <v/>
      </c>
      <c r="P314" s="100">
        <f>G314+H314-I314-J314</f>
        <v/>
      </c>
      <c r="Q314" s="100">
        <f>MAX(0,P314)</f>
        <v/>
      </c>
      <c r="R314" s="100">
        <f>MAX(0,-P314)</f>
        <v/>
      </c>
      <c r="S314" s="101">
        <f>IFERROR(J314/O314,0)</f>
        <v/>
      </c>
      <c r="T314" s="101">
        <f>IFERROR(I314/O314,0)</f>
        <v/>
      </c>
      <c r="U314" s="102">
        <f>IF(P314&lt;=K314,"Reorder Required","Stock Sufficient")</f>
        <v/>
      </c>
      <c r="V314" s="102">
        <f>IF(AND(Q314=M314,(U314="Reorder Required")=(N314="Reorder Required")),"OK","Mismatch")</f>
        <v/>
      </c>
      <c r="W314" s="99" t="n"/>
    </row>
    <row r="315">
      <c r="A315" s="99" t="inlineStr">
        <is>
          <t>INV00314</t>
        </is>
      </c>
      <c r="B315" s="99" t="inlineStr">
        <is>
          <t>OUT007</t>
        </is>
      </c>
      <c r="C315" s="99">
        <f>INDEX(Lookup!$B$2:$B$11,MATCH(B315,Lookup!$A$2:$A$11,0))</f>
        <v/>
      </c>
      <c r="D315" s="99" t="inlineStr">
        <is>
          <t>BP014</t>
        </is>
      </c>
      <c r="E315" s="99">
        <f>INDEX(Lookup!$E$2:$E$51,MATCH(D315,Lookup!$D$2:$D$51,0))</f>
        <v/>
      </c>
      <c r="F315" s="99">
        <f>INDEX(Lookup!$F$2:$F$51,MATCH(D315,Lookup!$D$2:$D$51,0))</f>
        <v/>
      </c>
      <c r="G315" s="100" t="n">
        <v>80</v>
      </c>
      <c r="H315" s="100" t="n">
        <v>59</v>
      </c>
      <c r="I315" s="100" t="n">
        <v>61</v>
      </c>
      <c r="J315" s="100" t="n">
        <v>0</v>
      </c>
      <c r="K315" s="100" t="n">
        <v>39</v>
      </c>
      <c r="L315" s="100" t="n">
        <v>1</v>
      </c>
      <c r="M315" s="100" t="n">
        <v>78</v>
      </c>
      <c r="N315" s="99" t="inlineStr">
        <is>
          <t>Healthy</t>
        </is>
      </c>
      <c r="O315" s="100">
        <f>G315+H315</f>
        <v/>
      </c>
      <c r="P315" s="100">
        <f>G315+H315-I315-J315</f>
        <v/>
      </c>
      <c r="Q315" s="100">
        <f>MAX(0,P315)</f>
        <v/>
      </c>
      <c r="R315" s="100">
        <f>MAX(0,-P315)</f>
        <v/>
      </c>
      <c r="S315" s="101">
        <f>IFERROR(J315/O315,0)</f>
        <v/>
      </c>
      <c r="T315" s="101">
        <f>IFERROR(I315/O315,0)</f>
        <v/>
      </c>
      <c r="U315" s="102">
        <f>IF(P315&lt;=K315,"Reorder Required","Stock Sufficient")</f>
        <v/>
      </c>
      <c r="V315" s="102">
        <f>IF(AND(Q315=M315,(U315="Reorder Required")=(N315="Reorder Required")),"OK","Mismatch")</f>
        <v/>
      </c>
      <c r="W315" s="99" t="n"/>
    </row>
    <row r="316">
      <c r="A316" s="99" t="inlineStr">
        <is>
          <t>INV00315</t>
        </is>
      </c>
      <c r="B316" s="99" t="inlineStr">
        <is>
          <t>OUT007</t>
        </is>
      </c>
      <c r="C316" s="99">
        <f>INDEX(Lookup!$B$2:$B$11,MATCH(B316,Lookup!$A$2:$A$11,0))</f>
        <v/>
      </c>
      <c r="D316" s="99" t="inlineStr">
        <is>
          <t>BP015</t>
        </is>
      </c>
      <c r="E316" s="99">
        <f>INDEX(Lookup!$E$2:$E$51,MATCH(D316,Lookup!$D$2:$D$51,0))</f>
        <v/>
      </c>
      <c r="F316" s="99">
        <f>INDEX(Lookup!$F$2:$F$51,MATCH(D316,Lookup!$D$2:$D$51,0))</f>
        <v/>
      </c>
      <c r="G316" s="100" t="n">
        <v>97</v>
      </c>
      <c r="H316" s="100" t="n">
        <v>63</v>
      </c>
      <c r="I316" s="100" t="n">
        <v>32</v>
      </c>
      <c r="J316" s="100" t="n">
        <v>0</v>
      </c>
      <c r="K316" s="100" t="n">
        <v>32</v>
      </c>
      <c r="L316" s="100" t="n">
        <v>3</v>
      </c>
      <c r="M316" s="100" t="n">
        <v>128</v>
      </c>
      <c r="N316" s="99" t="inlineStr">
        <is>
          <t>Healthy</t>
        </is>
      </c>
      <c r="O316" s="100">
        <f>G316+H316</f>
        <v/>
      </c>
      <c r="P316" s="100">
        <f>G316+H316-I316-J316</f>
        <v/>
      </c>
      <c r="Q316" s="100">
        <f>MAX(0,P316)</f>
        <v/>
      </c>
      <c r="R316" s="100">
        <f>MAX(0,-P316)</f>
        <v/>
      </c>
      <c r="S316" s="101">
        <f>IFERROR(J316/O316,0)</f>
        <v/>
      </c>
      <c r="T316" s="101">
        <f>IFERROR(I316/O316,0)</f>
        <v/>
      </c>
      <c r="U316" s="102">
        <f>IF(P316&lt;=K316,"Reorder Required","Stock Sufficient")</f>
        <v/>
      </c>
      <c r="V316" s="102">
        <f>IF(AND(Q316=M316,(U316="Reorder Required")=(N316="Reorder Required")),"OK","Mismatch")</f>
        <v/>
      </c>
      <c r="W316" s="99" t="n"/>
    </row>
    <row r="317">
      <c r="A317" s="99" t="inlineStr">
        <is>
          <t>INV00316</t>
        </is>
      </c>
      <c r="B317" s="99" t="inlineStr">
        <is>
          <t>OUT007</t>
        </is>
      </c>
      <c r="C317" s="99">
        <f>INDEX(Lookup!$B$2:$B$11,MATCH(B317,Lookup!$A$2:$A$11,0))</f>
        <v/>
      </c>
      <c r="D317" s="99" t="inlineStr">
        <is>
          <t>BP016</t>
        </is>
      </c>
      <c r="E317" s="99">
        <f>INDEX(Lookup!$E$2:$E$51,MATCH(D317,Lookup!$D$2:$D$51,0))</f>
        <v/>
      </c>
      <c r="F317" s="99">
        <f>INDEX(Lookup!$F$2:$F$51,MATCH(D317,Lookup!$D$2:$D$51,0))</f>
        <v/>
      </c>
      <c r="G317" s="100" t="n">
        <v>146</v>
      </c>
      <c r="H317" s="100" t="n">
        <v>84</v>
      </c>
      <c r="I317" s="100" t="n">
        <v>128</v>
      </c>
      <c r="J317" s="100" t="n">
        <v>0</v>
      </c>
      <c r="K317" s="100" t="n">
        <v>31</v>
      </c>
      <c r="L317" s="100" t="n">
        <v>1</v>
      </c>
      <c r="M317" s="100" t="n">
        <v>102</v>
      </c>
      <c r="N317" s="99" t="inlineStr">
        <is>
          <t>Healthy</t>
        </is>
      </c>
      <c r="O317" s="100">
        <f>G317+H317</f>
        <v/>
      </c>
      <c r="P317" s="100">
        <f>G317+H317-I317-J317</f>
        <v/>
      </c>
      <c r="Q317" s="100">
        <f>MAX(0,P317)</f>
        <v/>
      </c>
      <c r="R317" s="100">
        <f>MAX(0,-P317)</f>
        <v/>
      </c>
      <c r="S317" s="101">
        <f>IFERROR(J317/O317,0)</f>
        <v/>
      </c>
      <c r="T317" s="101">
        <f>IFERROR(I317/O317,0)</f>
        <v/>
      </c>
      <c r="U317" s="102">
        <f>IF(P317&lt;=K317,"Reorder Required","Stock Sufficient")</f>
        <v/>
      </c>
      <c r="V317" s="102">
        <f>IF(AND(Q317=M317,(U317="Reorder Required")=(N317="Reorder Required")),"OK","Mismatch")</f>
        <v/>
      </c>
      <c r="W317" s="99" t="n"/>
    </row>
    <row r="318">
      <c r="A318" s="99" t="inlineStr">
        <is>
          <t>INV00317</t>
        </is>
      </c>
      <c r="B318" s="99" t="inlineStr">
        <is>
          <t>OUT007</t>
        </is>
      </c>
      <c r="C318" s="99">
        <f>INDEX(Lookup!$B$2:$B$11,MATCH(B318,Lookup!$A$2:$A$11,0))</f>
        <v/>
      </c>
      <c r="D318" s="99" t="inlineStr">
        <is>
          <t>BP017</t>
        </is>
      </c>
      <c r="E318" s="99">
        <f>INDEX(Lookup!$E$2:$E$51,MATCH(D318,Lookup!$D$2:$D$51,0))</f>
        <v/>
      </c>
      <c r="F318" s="99">
        <f>INDEX(Lookup!$F$2:$F$51,MATCH(D318,Lookup!$D$2:$D$51,0))</f>
        <v/>
      </c>
      <c r="G318" s="100" t="n">
        <v>48</v>
      </c>
      <c r="H318" s="100" t="n">
        <v>66</v>
      </c>
      <c r="I318" s="100" t="n">
        <v>124</v>
      </c>
      <c r="J318" s="100" t="n">
        <v>0</v>
      </c>
      <c r="K318" s="100" t="n">
        <v>25</v>
      </c>
      <c r="L318" s="100" t="n">
        <v>2</v>
      </c>
      <c r="M318" s="100" t="n">
        <v>0</v>
      </c>
      <c r="N318" s="99" t="inlineStr">
        <is>
          <t>Reorder Required</t>
        </is>
      </c>
      <c r="O318" s="100">
        <f>G318+H318</f>
        <v/>
      </c>
      <c r="P318" s="100">
        <f>G318+H318-I318-J318</f>
        <v/>
      </c>
      <c r="Q318" s="100">
        <f>MAX(0,P318)</f>
        <v/>
      </c>
      <c r="R318" s="100">
        <f>MAX(0,-P318)</f>
        <v/>
      </c>
      <c r="S318" s="101">
        <f>IFERROR(J318/O318,0)</f>
        <v/>
      </c>
      <c r="T318" s="101">
        <f>IFERROR(I318/O318,0)</f>
        <v/>
      </c>
      <c r="U318" s="102">
        <f>IF(P318&lt;=K318,"Reorder Required","Stock Sufficient")</f>
        <v/>
      </c>
      <c r="V318" s="102">
        <f>IF(AND(Q318=M318,(U318="Reorder Required")=(N318="Reorder Required")),"OK","Mismatch")</f>
        <v/>
      </c>
      <c r="W318" s="99" t="inlineStr">
        <is>
          <t>Restock immediately</t>
        </is>
      </c>
    </row>
    <row r="319">
      <c r="A319" s="99" t="inlineStr">
        <is>
          <t>INV00318</t>
        </is>
      </c>
      <c r="B319" s="99" t="inlineStr">
        <is>
          <t>OUT007</t>
        </is>
      </c>
      <c r="C319" s="99">
        <f>INDEX(Lookup!$B$2:$B$11,MATCH(B319,Lookup!$A$2:$A$11,0))</f>
        <v/>
      </c>
      <c r="D319" s="99" t="inlineStr">
        <is>
          <t>BP018</t>
        </is>
      </c>
      <c r="E319" s="99">
        <f>INDEX(Lookup!$E$2:$E$51,MATCH(D319,Lookup!$D$2:$D$51,0))</f>
        <v/>
      </c>
      <c r="F319" s="99">
        <f>INDEX(Lookup!$F$2:$F$51,MATCH(D319,Lookup!$D$2:$D$51,0))</f>
        <v/>
      </c>
      <c r="G319" s="100" t="n">
        <v>46</v>
      </c>
      <c r="H319" s="100" t="n">
        <v>96</v>
      </c>
      <c r="I319" s="100" t="n">
        <v>51</v>
      </c>
      <c r="J319" s="100" t="n">
        <v>3</v>
      </c>
      <c r="K319" s="100" t="n">
        <v>25</v>
      </c>
      <c r="L319" s="100" t="n">
        <v>3</v>
      </c>
      <c r="M319" s="100" t="n">
        <v>88</v>
      </c>
      <c r="N319" s="99" t="inlineStr">
        <is>
          <t>Healthy</t>
        </is>
      </c>
      <c r="O319" s="100">
        <f>G319+H319</f>
        <v/>
      </c>
      <c r="P319" s="100">
        <f>G319+H319-I319-J319</f>
        <v/>
      </c>
      <c r="Q319" s="100">
        <f>MAX(0,P319)</f>
        <v/>
      </c>
      <c r="R319" s="100">
        <f>MAX(0,-P319)</f>
        <v/>
      </c>
      <c r="S319" s="101">
        <f>IFERROR(J319/O319,0)</f>
        <v/>
      </c>
      <c r="T319" s="101">
        <f>IFERROR(I319/O319,0)</f>
        <v/>
      </c>
      <c r="U319" s="102">
        <f>IF(P319&lt;=K319,"Reorder Required","Stock Sufficient")</f>
        <v/>
      </c>
      <c r="V319" s="102">
        <f>IF(AND(Q319=M319,(U319="Reorder Required")=(N319="Reorder Required")),"OK","Mismatch")</f>
        <v/>
      </c>
      <c r="W319" s="99" t="n"/>
    </row>
    <row r="320">
      <c r="A320" s="99" t="inlineStr">
        <is>
          <t>INV00319</t>
        </is>
      </c>
      <c r="B320" s="99" t="inlineStr">
        <is>
          <t>OUT007</t>
        </is>
      </c>
      <c r="C320" s="99">
        <f>INDEX(Lookup!$B$2:$B$11,MATCH(B320,Lookup!$A$2:$A$11,0))</f>
        <v/>
      </c>
      <c r="D320" s="99" t="inlineStr">
        <is>
          <t>BP019</t>
        </is>
      </c>
      <c r="E320" s="99">
        <f>INDEX(Lookup!$E$2:$E$51,MATCH(D320,Lookup!$D$2:$D$51,0))</f>
        <v/>
      </c>
      <c r="F320" s="99">
        <f>INDEX(Lookup!$F$2:$F$51,MATCH(D320,Lookup!$D$2:$D$51,0))</f>
        <v/>
      </c>
      <c r="G320" s="100" t="n">
        <v>124</v>
      </c>
      <c r="H320" s="100" t="n">
        <v>65</v>
      </c>
      <c r="I320" s="100" t="n">
        <v>38</v>
      </c>
      <c r="J320" s="100" t="n">
        <v>1</v>
      </c>
      <c r="K320" s="100" t="n">
        <v>37</v>
      </c>
      <c r="L320" s="100" t="n">
        <v>4</v>
      </c>
      <c r="M320" s="100" t="n">
        <v>150</v>
      </c>
      <c r="N320" s="99" t="inlineStr">
        <is>
          <t>Healthy</t>
        </is>
      </c>
      <c r="O320" s="100">
        <f>G320+H320</f>
        <v/>
      </c>
      <c r="P320" s="100">
        <f>G320+H320-I320-J320</f>
        <v/>
      </c>
      <c r="Q320" s="100">
        <f>MAX(0,P320)</f>
        <v/>
      </c>
      <c r="R320" s="100">
        <f>MAX(0,-P320)</f>
        <v/>
      </c>
      <c r="S320" s="101">
        <f>IFERROR(J320/O320,0)</f>
        <v/>
      </c>
      <c r="T320" s="101">
        <f>IFERROR(I320/O320,0)</f>
        <v/>
      </c>
      <c r="U320" s="102">
        <f>IF(P320&lt;=K320,"Reorder Required","Stock Sufficient")</f>
        <v/>
      </c>
      <c r="V320" s="102">
        <f>IF(AND(Q320=M320,(U320="Reorder Required")=(N320="Reorder Required")),"OK","Mismatch")</f>
        <v/>
      </c>
      <c r="W320" s="99" t="n"/>
    </row>
    <row r="321">
      <c r="A321" s="99" t="inlineStr">
        <is>
          <t>INV00320</t>
        </is>
      </c>
      <c r="B321" s="99" t="inlineStr">
        <is>
          <t>OUT007</t>
        </is>
      </c>
      <c r="C321" s="99">
        <f>INDEX(Lookup!$B$2:$B$11,MATCH(B321,Lookup!$A$2:$A$11,0))</f>
        <v/>
      </c>
      <c r="D321" s="99" t="inlineStr">
        <is>
          <t>BP020</t>
        </is>
      </c>
      <c r="E321" s="99">
        <f>INDEX(Lookup!$E$2:$E$51,MATCH(D321,Lookup!$D$2:$D$51,0))</f>
        <v/>
      </c>
      <c r="F321" s="99">
        <f>INDEX(Lookup!$F$2:$F$51,MATCH(D321,Lookup!$D$2:$D$51,0))</f>
        <v/>
      </c>
      <c r="G321" s="100" t="n">
        <v>51</v>
      </c>
      <c r="H321" s="100" t="n">
        <v>53</v>
      </c>
      <c r="I321" s="100" t="n">
        <v>45</v>
      </c>
      <c r="J321" s="100" t="n">
        <v>2</v>
      </c>
      <c r="K321" s="100" t="n">
        <v>27</v>
      </c>
      <c r="L321" s="100" t="n">
        <v>1</v>
      </c>
      <c r="M321" s="100" t="n">
        <v>57</v>
      </c>
      <c r="N321" s="99" t="inlineStr">
        <is>
          <t>Healthy</t>
        </is>
      </c>
      <c r="O321" s="100">
        <f>G321+H321</f>
        <v/>
      </c>
      <c r="P321" s="100">
        <f>G321+H321-I321-J321</f>
        <v/>
      </c>
      <c r="Q321" s="100">
        <f>MAX(0,P321)</f>
        <v/>
      </c>
      <c r="R321" s="100">
        <f>MAX(0,-P321)</f>
        <v/>
      </c>
      <c r="S321" s="101">
        <f>IFERROR(J321/O321,0)</f>
        <v/>
      </c>
      <c r="T321" s="101">
        <f>IFERROR(I321/O321,0)</f>
        <v/>
      </c>
      <c r="U321" s="102">
        <f>IF(P321&lt;=K321,"Reorder Required","Stock Sufficient")</f>
        <v/>
      </c>
      <c r="V321" s="102">
        <f>IF(AND(Q321=M321,(U321="Reorder Required")=(N321="Reorder Required")),"OK","Mismatch")</f>
        <v/>
      </c>
      <c r="W321" s="99" t="n"/>
    </row>
    <row r="322">
      <c r="A322" s="99" t="inlineStr">
        <is>
          <t>INV00321</t>
        </is>
      </c>
      <c r="B322" s="99" t="inlineStr">
        <is>
          <t>OUT007</t>
        </is>
      </c>
      <c r="C322" s="99">
        <f>INDEX(Lookup!$B$2:$B$11,MATCH(B322,Lookup!$A$2:$A$11,0))</f>
        <v/>
      </c>
      <c r="D322" s="99" t="inlineStr">
        <is>
          <t>BP021</t>
        </is>
      </c>
      <c r="E322" s="99">
        <f>INDEX(Lookup!$E$2:$E$51,MATCH(D322,Lookup!$D$2:$D$51,0))</f>
        <v/>
      </c>
      <c r="F322" s="99">
        <f>INDEX(Lookup!$F$2:$F$51,MATCH(D322,Lookup!$D$2:$D$51,0))</f>
        <v/>
      </c>
      <c r="G322" s="100" t="n">
        <v>47</v>
      </c>
      <c r="H322" s="100" t="n">
        <v>86</v>
      </c>
      <c r="I322" s="100" t="n">
        <v>30</v>
      </c>
      <c r="J322" s="100" t="n">
        <v>3</v>
      </c>
      <c r="K322" s="100" t="n">
        <v>36</v>
      </c>
      <c r="L322" s="100" t="n">
        <v>2</v>
      </c>
      <c r="M322" s="100" t="n">
        <v>100</v>
      </c>
      <c r="N322" s="99" t="inlineStr">
        <is>
          <t>Healthy</t>
        </is>
      </c>
      <c r="O322" s="100">
        <f>G322+H322</f>
        <v/>
      </c>
      <c r="P322" s="100">
        <f>G322+H322-I322-J322</f>
        <v/>
      </c>
      <c r="Q322" s="100">
        <f>MAX(0,P322)</f>
        <v/>
      </c>
      <c r="R322" s="100">
        <f>MAX(0,-P322)</f>
        <v/>
      </c>
      <c r="S322" s="101">
        <f>IFERROR(J322/O322,0)</f>
        <v/>
      </c>
      <c r="T322" s="101">
        <f>IFERROR(I322/O322,0)</f>
        <v/>
      </c>
      <c r="U322" s="102">
        <f>IF(P322&lt;=K322,"Reorder Required","Stock Sufficient")</f>
        <v/>
      </c>
      <c r="V322" s="102">
        <f>IF(AND(Q322=M322,(U322="Reorder Required")=(N322="Reorder Required")),"OK","Mismatch")</f>
        <v/>
      </c>
      <c r="W322" s="99" t="n"/>
    </row>
    <row r="323">
      <c r="A323" s="99" t="inlineStr">
        <is>
          <t>INV00322</t>
        </is>
      </c>
      <c r="B323" s="99" t="inlineStr">
        <is>
          <t>OUT007</t>
        </is>
      </c>
      <c r="C323" s="99">
        <f>INDEX(Lookup!$B$2:$B$11,MATCH(B323,Lookup!$A$2:$A$11,0))</f>
        <v/>
      </c>
      <c r="D323" s="99" t="inlineStr">
        <is>
          <t>BP022</t>
        </is>
      </c>
      <c r="E323" s="99">
        <f>INDEX(Lookup!$E$2:$E$51,MATCH(D323,Lookup!$D$2:$D$51,0))</f>
        <v/>
      </c>
      <c r="F323" s="99">
        <f>INDEX(Lookup!$F$2:$F$51,MATCH(D323,Lookup!$D$2:$D$51,0))</f>
        <v/>
      </c>
      <c r="G323" s="100" t="n">
        <v>143</v>
      </c>
      <c r="H323" s="100" t="n">
        <v>38</v>
      </c>
      <c r="I323" s="100" t="n">
        <v>123</v>
      </c>
      <c r="J323" s="100" t="n">
        <v>2</v>
      </c>
      <c r="K323" s="100" t="n">
        <v>26</v>
      </c>
      <c r="L323" s="100" t="n">
        <v>1</v>
      </c>
      <c r="M323" s="100" t="n">
        <v>56</v>
      </c>
      <c r="N323" s="99" t="inlineStr">
        <is>
          <t>Healthy</t>
        </is>
      </c>
      <c r="O323" s="100">
        <f>G323+H323</f>
        <v/>
      </c>
      <c r="P323" s="100">
        <f>G323+H323-I323-J323</f>
        <v/>
      </c>
      <c r="Q323" s="100">
        <f>MAX(0,P323)</f>
        <v/>
      </c>
      <c r="R323" s="100">
        <f>MAX(0,-P323)</f>
        <v/>
      </c>
      <c r="S323" s="101">
        <f>IFERROR(J323/O323,0)</f>
        <v/>
      </c>
      <c r="T323" s="101">
        <f>IFERROR(I323/O323,0)</f>
        <v/>
      </c>
      <c r="U323" s="102">
        <f>IF(P323&lt;=K323,"Reorder Required","Stock Sufficient")</f>
        <v/>
      </c>
      <c r="V323" s="102">
        <f>IF(AND(Q323=M323,(U323="Reorder Required")=(N323="Reorder Required")),"OK","Mismatch")</f>
        <v/>
      </c>
      <c r="W323" s="99" t="n"/>
    </row>
    <row r="324">
      <c r="A324" s="99" t="inlineStr">
        <is>
          <t>INV00323</t>
        </is>
      </c>
      <c r="B324" s="99" t="inlineStr">
        <is>
          <t>OUT007</t>
        </is>
      </c>
      <c r="C324" s="99">
        <f>INDEX(Lookup!$B$2:$B$11,MATCH(B324,Lookup!$A$2:$A$11,0))</f>
        <v/>
      </c>
      <c r="D324" s="99" t="inlineStr">
        <is>
          <t>BP023</t>
        </is>
      </c>
      <c r="E324" s="99">
        <f>INDEX(Lookup!$E$2:$E$51,MATCH(D324,Lookup!$D$2:$D$51,0))</f>
        <v/>
      </c>
      <c r="F324" s="99">
        <f>INDEX(Lookup!$F$2:$F$51,MATCH(D324,Lookup!$D$2:$D$51,0))</f>
        <v/>
      </c>
      <c r="G324" s="100" t="n">
        <v>83</v>
      </c>
      <c r="H324" s="100" t="n">
        <v>72</v>
      </c>
      <c r="I324" s="100" t="n">
        <v>74</v>
      </c>
      <c r="J324" s="100" t="n">
        <v>1</v>
      </c>
      <c r="K324" s="100" t="n">
        <v>22</v>
      </c>
      <c r="L324" s="100" t="n">
        <v>2</v>
      </c>
      <c r="M324" s="100" t="n">
        <v>80</v>
      </c>
      <c r="N324" s="99" t="inlineStr">
        <is>
          <t>Healthy</t>
        </is>
      </c>
      <c r="O324" s="100">
        <f>G324+H324</f>
        <v/>
      </c>
      <c r="P324" s="100">
        <f>G324+H324-I324-J324</f>
        <v/>
      </c>
      <c r="Q324" s="100">
        <f>MAX(0,P324)</f>
        <v/>
      </c>
      <c r="R324" s="100">
        <f>MAX(0,-P324)</f>
        <v/>
      </c>
      <c r="S324" s="101">
        <f>IFERROR(J324/O324,0)</f>
        <v/>
      </c>
      <c r="T324" s="101">
        <f>IFERROR(I324/O324,0)</f>
        <v/>
      </c>
      <c r="U324" s="102">
        <f>IF(P324&lt;=K324,"Reorder Required","Stock Sufficient")</f>
        <v/>
      </c>
      <c r="V324" s="102">
        <f>IF(AND(Q324=M324,(U324="Reorder Required")=(N324="Reorder Required")),"OK","Mismatch")</f>
        <v/>
      </c>
      <c r="W324" s="99" t="n"/>
    </row>
    <row r="325">
      <c r="A325" s="99" t="inlineStr">
        <is>
          <t>INV00324</t>
        </is>
      </c>
      <c r="B325" s="99" t="inlineStr">
        <is>
          <t>OUT007</t>
        </is>
      </c>
      <c r="C325" s="99">
        <f>INDEX(Lookup!$B$2:$B$11,MATCH(B325,Lookup!$A$2:$A$11,0))</f>
        <v/>
      </c>
      <c r="D325" s="99" t="inlineStr">
        <is>
          <t>BP024</t>
        </is>
      </c>
      <c r="E325" s="99">
        <f>INDEX(Lookup!$E$2:$E$51,MATCH(D325,Lookup!$D$2:$D$51,0))</f>
        <v/>
      </c>
      <c r="F325" s="99">
        <f>INDEX(Lookup!$F$2:$F$51,MATCH(D325,Lookup!$D$2:$D$51,0))</f>
        <v/>
      </c>
      <c r="G325" s="100" t="n">
        <v>51</v>
      </c>
      <c r="H325" s="100" t="n">
        <v>84</v>
      </c>
      <c r="I325" s="100" t="n">
        <v>52</v>
      </c>
      <c r="J325" s="100" t="n">
        <v>2</v>
      </c>
      <c r="K325" s="100" t="n">
        <v>32</v>
      </c>
      <c r="L325" s="100" t="n">
        <v>5</v>
      </c>
      <c r="M325" s="100" t="n">
        <v>81</v>
      </c>
      <c r="N325" s="99" t="inlineStr">
        <is>
          <t>Healthy</t>
        </is>
      </c>
      <c r="O325" s="100">
        <f>G325+H325</f>
        <v/>
      </c>
      <c r="P325" s="100">
        <f>G325+H325-I325-J325</f>
        <v/>
      </c>
      <c r="Q325" s="100">
        <f>MAX(0,P325)</f>
        <v/>
      </c>
      <c r="R325" s="100">
        <f>MAX(0,-P325)</f>
        <v/>
      </c>
      <c r="S325" s="101">
        <f>IFERROR(J325/O325,0)</f>
        <v/>
      </c>
      <c r="T325" s="101">
        <f>IFERROR(I325/O325,0)</f>
        <v/>
      </c>
      <c r="U325" s="102">
        <f>IF(P325&lt;=K325,"Reorder Required","Stock Sufficient")</f>
        <v/>
      </c>
      <c r="V325" s="102">
        <f>IF(AND(Q325=M325,(U325="Reorder Required")=(N325="Reorder Required")),"OK","Mismatch")</f>
        <v/>
      </c>
      <c r="W325" s="99" t="n"/>
    </row>
    <row r="326">
      <c r="A326" s="99" t="inlineStr">
        <is>
          <t>INV00325</t>
        </is>
      </c>
      <c r="B326" s="99" t="inlineStr">
        <is>
          <t>OUT007</t>
        </is>
      </c>
      <c r="C326" s="99">
        <f>INDEX(Lookup!$B$2:$B$11,MATCH(B326,Lookup!$A$2:$A$11,0))</f>
        <v/>
      </c>
      <c r="D326" s="99" t="inlineStr">
        <is>
          <t>BP025</t>
        </is>
      </c>
      <c r="E326" s="99">
        <f>INDEX(Lookup!$E$2:$E$51,MATCH(D326,Lookup!$D$2:$D$51,0))</f>
        <v/>
      </c>
      <c r="F326" s="99">
        <f>INDEX(Lookup!$F$2:$F$51,MATCH(D326,Lookup!$D$2:$D$51,0))</f>
        <v/>
      </c>
      <c r="G326" s="100" t="n">
        <v>95</v>
      </c>
      <c r="H326" s="100" t="n">
        <v>96</v>
      </c>
      <c r="I326" s="100" t="n">
        <v>137</v>
      </c>
      <c r="J326" s="100" t="n">
        <v>0</v>
      </c>
      <c r="K326" s="100" t="n">
        <v>28</v>
      </c>
      <c r="L326" s="100" t="n">
        <v>4</v>
      </c>
      <c r="M326" s="100" t="n">
        <v>54</v>
      </c>
      <c r="N326" s="99" t="inlineStr">
        <is>
          <t>Healthy</t>
        </is>
      </c>
      <c r="O326" s="100">
        <f>G326+H326</f>
        <v/>
      </c>
      <c r="P326" s="100">
        <f>G326+H326-I326-J326</f>
        <v/>
      </c>
      <c r="Q326" s="100">
        <f>MAX(0,P326)</f>
        <v/>
      </c>
      <c r="R326" s="100">
        <f>MAX(0,-P326)</f>
        <v/>
      </c>
      <c r="S326" s="101">
        <f>IFERROR(J326/O326,0)</f>
        <v/>
      </c>
      <c r="T326" s="101">
        <f>IFERROR(I326/O326,0)</f>
        <v/>
      </c>
      <c r="U326" s="102">
        <f>IF(P326&lt;=K326,"Reorder Required","Stock Sufficient")</f>
        <v/>
      </c>
      <c r="V326" s="102">
        <f>IF(AND(Q326=M326,(U326="Reorder Required")=(N326="Reorder Required")),"OK","Mismatch")</f>
        <v/>
      </c>
      <c r="W326" s="99" t="n"/>
    </row>
    <row r="327">
      <c r="A327" s="99" t="inlineStr">
        <is>
          <t>INV00326</t>
        </is>
      </c>
      <c r="B327" s="99" t="inlineStr">
        <is>
          <t>OUT007</t>
        </is>
      </c>
      <c r="C327" s="99">
        <f>INDEX(Lookup!$B$2:$B$11,MATCH(B327,Lookup!$A$2:$A$11,0))</f>
        <v/>
      </c>
      <c r="D327" s="99" t="inlineStr">
        <is>
          <t>BP026</t>
        </is>
      </c>
      <c r="E327" s="99">
        <f>INDEX(Lookup!$E$2:$E$51,MATCH(D327,Lookup!$D$2:$D$51,0))</f>
        <v/>
      </c>
      <c r="F327" s="99">
        <f>INDEX(Lookup!$F$2:$F$51,MATCH(D327,Lookup!$D$2:$D$51,0))</f>
        <v/>
      </c>
      <c r="G327" s="100" t="n">
        <v>43</v>
      </c>
      <c r="H327" s="100" t="n">
        <v>57</v>
      </c>
      <c r="I327" s="100" t="n">
        <v>139</v>
      </c>
      <c r="J327" s="100" t="n">
        <v>3</v>
      </c>
      <c r="K327" s="100" t="n">
        <v>34</v>
      </c>
      <c r="L327" s="100" t="n">
        <v>4</v>
      </c>
      <c r="M327" s="100" t="n">
        <v>0</v>
      </c>
      <c r="N327" s="99" t="inlineStr">
        <is>
          <t>Reorder Required</t>
        </is>
      </c>
      <c r="O327" s="100">
        <f>G327+H327</f>
        <v/>
      </c>
      <c r="P327" s="100">
        <f>G327+H327-I327-J327</f>
        <v/>
      </c>
      <c r="Q327" s="100">
        <f>MAX(0,P327)</f>
        <v/>
      </c>
      <c r="R327" s="100">
        <f>MAX(0,-P327)</f>
        <v/>
      </c>
      <c r="S327" s="101">
        <f>IFERROR(J327/O327,0)</f>
        <v/>
      </c>
      <c r="T327" s="101">
        <f>IFERROR(I327/O327,0)</f>
        <v/>
      </c>
      <c r="U327" s="102">
        <f>IF(P327&lt;=K327,"Reorder Required","Stock Sufficient")</f>
        <v/>
      </c>
      <c r="V327" s="102">
        <f>IF(AND(Q327=M327,(U327="Reorder Required")=(N327="Reorder Required")),"OK","Mismatch")</f>
        <v/>
      </c>
      <c r="W327" s="99" t="inlineStr">
        <is>
          <t>Restock immediately</t>
        </is>
      </c>
    </row>
    <row r="328">
      <c r="A328" s="99" t="inlineStr">
        <is>
          <t>INV00327</t>
        </is>
      </c>
      <c r="B328" s="99" t="inlineStr">
        <is>
          <t>OUT007</t>
        </is>
      </c>
      <c r="C328" s="99">
        <f>INDEX(Lookup!$B$2:$B$11,MATCH(B328,Lookup!$A$2:$A$11,0))</f>
        <v/>
      </c>
      <c r="D328" s="99" t="inlineStr">
        <is>
          <t>BP027</t>
        </is>
      </c>
      <c r="E328" s="99">
        <f>INDEX(Lookup!$E$2:$E$51,MATCH(D328,Lookup!$D$2:$D$51,0))</f>
        <v/>
      </c>
      <c r="F328" s="99">
        <f>INDEX(Lookup!$F$2:$F$51,MATCH(D328,Lookup!$D$2:$D$51,0))</f>
        <v/>
      </c>
      <c r="G328" s="100" t="n">
        <v>141</v>
      </c>
      <c r="H328" s="100" t="n">
        <v>89</v>
      </c>
      <c r="I328" s="100" t="n">
        <v>64</v>
      </c>
      <c r="J328" s="100" t="n">
        <v>0</v>
      </c>
      <c r="K328" s="100" t="n">
        <v>36</v>
      </c>
      <c r="L328" s="100" t="n">
        <v>4</v>
      </c>
      <c r="M328" s="100" t="n">
        <v>166</v>
      </c>
      <c r="N328" s="99" t="inlineStr">
        <is>
          <t>Healthy</t>
        </is>
      </c>
      <c r="O328" s="100">
        <f>G328+H328</f>
        <v/>
      </c>
      <c r="P328" s="100">
        <f>G328+H328-I328-J328</f>
        <v/>
      </c>
      <c r="Q328" s="100">
        <f>MAX(0,P328)</f>
        <v/>
      </c>
      <c r="R328" s="100">
        <f>MAX(0,-P328)</f>
        <v/>
      </c>
      <c r="S328" s="101">
        <f>IFERROR(J328/O328,0)</f>
        <v/>
      </c>
      <c r="T328" s="101">
        <f>IFERROR(I328/O328,0)</f>
        <v/>
      </c>
      <c r="U328" s="102">
        <f>IF(P328&lt;=K328,"Reorder Required","Stock Sufficient")</f>
        <v/>
      </c>
      <c r="V328" s="102">
        <f>IF(AND(Q328=M328,(U328="Reorder Required")=(N328="Reorder Required")),"OK","Mismatch")</f>
        <v/>
      </c>
      <c r="W328" s="99" t="n"/>
    </row>
    <row r="329">
      <c r="A329" s="99" t="inlineStr">
        <is>
          <t>INV00328</t>
        </is>
      </c>
      <c r="B329" s="99" t="inlineStr">
        <is>
          <t>OUT007</t>
        </is>
      </c>
      <c r="C329" s="99">
        <f>INDEX(Lookup!$B$2:$B$11,MATCH(B329,Lookup!$A$2:$A$11,0))</f>
        <v/>
      </c>
      <c r="D329" s="99" t="inlineStr">
        <is>
          <t>BP028</t>
        </is>
      </c>
      <c r="E329" s="99">
        <f>INDEX(Lookup!$E$2:$E$51,MATCH(D329,Lookup!$D$2:$D$51,0))</f>
        <v/>
      </c>
      <c r="F329" s="99">
        <f>INDEX(Lookup!$F$2:$F$51,MATCH(D329,Lookup!$D$2:$D$51,0))</f>
        <v/>
      </c>
      <c r="G329" s="100" t="n">
        <v>139</v>
      </c>
      <c r="H329" s="100" t="n">
        <v>88</v>
      </c>
      <c r="I329" s="100" t="n">
        <v>65</v>
      </c>
      <c r="J329" s="100" t="n">
        <v>1</v>
      </c>
      <c r="K329" s="100" t="n">
        <v>19</v>
      </c>
      <c r="L329" s="100" t="n">
        <v>4</v>
      </c>
      <c r="M329" s="100" t="n">
        <v>161</v>
      </c>
      <c r="N329" s="99" t="inlineStr">
        <is>
          <t>Healthy</t>
        </is>
      </c>
      <c r="O329" s="100">
        <f>G329+H329</f>
        <v/>
      </c>
      <c r="P329" s="100">
        <f>G329+H329-I329-J329</f>
        <v/>
      </c>
      <c r="Q329" s="100">
        <f>MAX(0,P329)</f>
        <v/>
      </c>
      <c r="R329" s="100">
        <f>MAX(0,-P329)</f>
        <v/>
      </c>
      <c r="S329" s="101">
        <f>IFERROR(J329/O329,0)</f>
        <v/>
      </c>
      <c r="T329" s="101">
        <f>IFERROR(I329/O329,0)</f>
        <v/>
      </c>
      <c r="U329" s="102">
        <f>IF(P329&lt;=K329,"Reorder Required","Stock Sufficient")</f>
        <v/>
      </c>
      <c r="V329" s="102">
        <f>IF(AND(Q329=M329,(U329="Reorder Required")=(N329="Reorder Required")),"OK","Mismatch")</f>
        <v/>
      </c>
      <c r="W329" s="99" t="n"/>
    </row>
    <row r="330">
      <c r="A330" s="99" t="inlineStr">
        <is>
          <t>INV00329</t>
        </is>
      </c>
      <c r="B330" s="99" t="inlineStr">
        <is>
          <t>OUT007</t>
        </is>
      </c>
      <c r="C330" s="99">
        <f>INDEX(Lookup!$B$2:$B$11,MATCH(B330,Lookup!$A$2:$A$11,0))</f>
        <v/>
      </c>
      <c r="D330" s="99" t="inlineStr">
        <is>
          <t>BP029</t>
        </is>
      </c>
      <c r="E330" s="99">
        <f>INDEX(Lookup!$E$2:$E$51,MATCH(D330,Lookup!$D$2:$D$51,0))</f>
        <v/>
      </c>
      <c r="F330" s="99">
        <f>INDEX(Lookup!$F$2:$F$51,MATCH(D330,Lookup!$D$2:$D$51,0))</f>
        <v/>
      </c>
      <c r="G330" s="100" t="n">
        <v>142</v>
      </c>
      <c r="H330" s="100" t="n">
        <v>34</v>
      </c>
      <c r="I330" s="100" t="n">
        <v>66</v>
      </c>
      <c r="J330" s="100" t="n">
        <v>2</v>
      </c>
      <c r="K330" s="100" t="n">
        <v>18</v>
      </c>
      <c r="L330" s="100" t="n">
        <v>3</v>
      </c>
      <c r="M330" s="100" t="n">
        <v>108</v>
      </c>
      <c r="N330" s="99" t="inlineStr">
        <is>
          <t>Healthy</t>
        </is>
      </c>
      <c r="O330" s="100">
        <f>G330+H330</f>
        <v/>
      </c>
      <c r="P330" s="100">
        <f>G330+H330-I330-J330</f>
        <v/>
      </c>
      <c r="Q330" s="100">
        <f>MAX(0,P330)</f>
        <v/>
      </c>
      <c r="R330" s="100">
        <f>MAX(0,-P330)</f>
        <v/>
      </c>
      <c r="S330" s="101">
        <f>IFERROR(J330/O330,0)</f>
        <v/>
      </c>
      <c r="T330" s="101">
        <f>IFERROR(I330/O330,0)</f>
        <v/>
      </c>
      <c r="U330" s="102">
        <f>IF(P330&lt;=K330,"Reorder Required","Stock Sufficient")</f>
        <v/>
      </c>
      <c r="V330" s="102">
        <f>IF(AND(Q330=M330,(U330="Reorder Required")=(N330="Reorder Required")),"OK","Mismatch")</f>
        <v/>
      </c>
      <c r="W330" s="99" t="n"/>
    </row>
    <row r="331">
      <c r="A331" s="99" t="inlineStr">
        <is>
          <t>INV00330</t>
        </is>
      </c>
      <c r="B331" s="99" t="inlineStr">
        <is>
          <t>OUT007</t>
        </is>
      </c>
      <c r="C331" s="99">
        <f>INDEX(Lookup!$B$2:$B$11,MATCH(B331,Lookup!$A$2:$A$11,0))</f>
        <v/>
      </c>
      <c r="D331" s="99" t="inlineStr">
        <is>
          <t>BP030</t>
        </is>
      </c>
      <c r="E331" s="99">
        <f>INDEX(Lookup!$E$2:$E$51,MATCH(D331,Lookup!$D$2:$D$51,0))</f>
        <v/>
      </c>
      <c r="F331" s="99">
        <f>INDEX(Lookup!$F$2:$F$51,MATCH(D331,Lookup!$D$2:$D$51,0))</f>
        <v/>
      </c>
      <c r="G331" s="100" t="n">
        <v>143</v>
      </c>
      <c r="H331" s="100" t="n">
        <v>49</v>
      </c>
      <c r="I331" s="100" t="n">
        <v>121</v>
      </c>
      <c r="J331" s="100" t="n">
        <v>3</v>
      </c>
      <c r="K331" s="100" t="n">
        <v>27</v>
      </c>
      <c r="L331" s="100" t="n">
        <v>3</v>
      </c>
      <c r="M331" s="100" t="n">
        <v>68</v>
      </c>
      <c r="N331" s="99" t="inlineStr">
        <is>
          <t>Healthy</t>
        </is>
      </c>
      <c r="O331" s="100">
        <f>G331+H331</f>
        <v/>
      </c>
      <c r="P331" s="100">
        <f>G331+H331-I331-J331</f>
        <v/>
      </c>
      <c r="Q331" s="100">
        <f>MAX(0,P331)</f>
        <v/>
      </c>
      <c r="R331" s="100">
        <f>MAX(0,-P331)</f>
        <v/>
      </c>
      <c r="S331" s="101">
        <f>IFERROR(J331/O331,0)</f>
        <v/>
      </c>
      <c r="T331" s="101">
        <f>IFERROR(I331/O331,0)</f>
        <v/>
      </c>
      <c r="U331" s="102">
        <f>IF(P331&lt;=K331,"Reorder Required","Stock Sufficient")</f>
        <v/>
      </c>
      <c r="V331" s="102">
        <f>IF(AND(Q331=M331,(U331="Reorder Required")=(N331="Reorder Required")),"OK","Mismatch")</f>
        <v/>
      </c>
      <c r="W331" s="99" t="n"/>
    </row>
    <row r="332">
      <c r="A332" s="99" t="inlineStr">
        <is>
          <t>INV00331</t>
        </is>
      </c>
      <c r="B332" s="99" t="inlineStr">
        <is>
          <t>OUT007</t>
        </is>
      </c>
      <c r="C332" s="99">
        <f>INDEX(Lookup!$B$2:$B$11,MATCH(B332,Lookup!$A$2:$A$11,0))</f>
        <v/>
      </c>
      <c r="D332" s="99" t="inlineStr">
        <is>
          <t>BP031</t>
        </is>
      </c>
      <c r="E332" s="99">
        <f>INDEX(Lookup!$E$2:$E$51,MATCH(D332,Lookup!$D$2:$D$51,0))</f>
        <v/>
      </c>
      <c r="F332" s="99">
        <f>INDEX(Lookup!$F$2:$F$51,MATCH(D332,Lookup!$D$2:$D$51,0))</f>
        <v/>
      </c>
      <c r="G332" s="100" t="n">
        <v>42</v>
      </c>
      <c r="H332" s="100" t="n">
        <v>84</v>
      </c>
      <c r="I332" s="100" t="n">
        <v>70</v>
      </c>
      <c r="J332" s="100" t="n">
        <v>7</v>
      </c>
      <c r="K332" s="100" t="n">
        <v>17</v>
      </c>
      <c r="L332" s="100" t="n">
        <v>1</v>
      </c>
      <c r="M332" s="100" t="n">
        <v>49</v>
      </c>
      <c r="N332" s="99" t="inlineStr">
        <is>
          <t>Healthy</t>
        </is>
      </c>
      <c r="O332" s="100">
        <f>G332+H332</f>
        <v/>
      </c>
      <c r="P332" s="100">
        <f>G332+H332-I332-J332</f>
        <v/>
      </c>
      <c r="Q332" s="100">
        <f>MAX(0,P332)</f>
        <v/>
      </c>
      <c r="R332" s="100">
        <f>MAX(0,-P332)</f>
        <v/>
      </c>
      <c r="S332" s="101">
        <f>IFERROR(J332/O332,0)</f>
        <v/>
      </c>
      <c r="T332" s="101">
        <f>IFERROR(I332/O332,0)</f>
        <v/>
      </c>
      <c r="U332" s="102">
        <f>IF(P332&lt;=K332,"Reorder Required","Stock Sufficient")</f>
        <v/>
      </c>
      <c r="V332" s="102">
        <f>IF(AND(Q332=M332,(U332="Reorder Required")=(N332="Reorder Required")),"OK","Mismatch")</f>
        <v/>
      </c>
      <c r="W332" s="99" t="n"/>
    </row>
    <row r="333">
      <c r="A333" s="99" t="inlineStr">
        <is>
          <t>INV00332</t>
        </is>
      </c>
      <c r="B333" s="99" t="inlineStr">
        <is>
          <t>OUT007</t>
        </is>
      </c>
      <c r="C333" s="99">
        <f>INDEX(Lookup!$B$2:$B$11,MATCH(B333,Lookup!$A$2:$A$11,0))</f>
        <v/>
      </c>
      <c r="D333" s="99" t="inlineStr">
        <is>
          <t>BP032</t>
        </is>
      </c>
      <c r="E333" s="99">
        <f>INDEX(Lookup!$E$2:$E$51,MATCH(D333,Lookup!$D$2:$D$51,0))</f>
        <v/>
      </c>
      <c r="F333" s="99">
        <f>INDEX(Lookup!$F$2:$F$51,MATCH(D333,Lookup!$D$2:$D$51,0))</f>
        <v/>
      </c>
      <c r="G333" s="100" t="n">
        <v>96</v>
      </c>
      <c r="H333" s="100" t="n">
        <v>74</v>
      </c>
      <c r="I333" s="100" t="n">
        <v>127</v>
      </c>
      <c r="J333" s="100" t="n">
        <v>7</v>
      </c>
      <c r="K333" s="100" t="n">
        <v>31</v>
      </c>
      <c r="L333" s="100" t="n">
        <v>3</v>
      </c>
      <c r="M333" s="100" t="n">
        <v>36</v>
      </c>
      <c r="N333" s="99" t="inlineStr">
        <is>
          <t>Healthy</t>
        </is>
      </c>
      <c r="O333" s="100">
        <f>G333+H333</f>
        <v/>
      </c>
      <c r="P333" s="100">
        <f>G333+H333-I333-J333</f>
        <v/>
      </c>
      <c r="Q333" s="100">
        <f>MAX(0,P333)</f>
        <v/>
      </c>
      <c r="R333" s="100">
        <f>MAX(0,-P333)</f>
        <v/>
      </c>
      <c r="S333" s="101">
        <f>IFERROR(J333/O333,0)</f>
        <v/>
      </c>
      <c r="T333" s="101">
        <f>IFERROR(I333/O333,0)</f>
        <v/>
      </c>
      <c r="U333" s="102">
        <f>IF(P333&lt;=K333,"Reorder Required","Stock Sufficient")</f>
        <v/>
      </c>
      <c r="V333" s="102">
        <f>IF(AND(Q333=M333,(U333="Reorder Required")=(N333="Reorder Required")),"OK","Mismatch")</f>
        <v/>
      </c>
      <c r="W333" s="99" t="n"/>
    </row>
    <row r="334">
      <c r="A334" s="99" t="inlineStr">
        <is>
          <t>INV00333</t>
        </is>
      </c>
      <c r="B334" s="99" t="inlineStr">
        <is>
          <t>OUT007</t>
        </is>
      </c>
      <c r="C334" s="99">
        <f>INDEX(Lookup!$B$2:$B$11,MATCH(B334,Lookup!$A$2:$A$11,0))</f>
        <v/>
      </c>
      <c r="D334" s="99" t="inlineStr">
        <is>
          <t>BP033</t>
        </is>
      </c>
      <c r="E334" s="99">
        <f>INDEX(Lookup!$E$2:$E$51,MATCH(D334,Lookup!$D$2:$D$51,0))</f>
        <v/>
      </c>
      <c r="F334" s="99">
        <f>INDEX(Lookup!$F$2:$F$51,MATCH(D334,Lookup!$D$2:$D$51,0))</f>
        <v/>
      </c>
      <c r="G334" s="100" t="n">
        <v>89</v>
      </c>
      <c r="H334" s="100" t="n">
        <v>64</v>
      </c>
      <c r="I334" s="100" t="n">
        <v>64</v>
      </c>
      <c r="J334" s="100" t="n">
        <v>7</v>
      </c>
      <c r="K334" s="100" t="n">
        <v>27</v>
      </c>
      <c r="L334" s="100" t="n">
        <v>3</v>
      </c>
      <c r="M334" s="100" t="n">
        <v>82</v>
      </c>
      <c r="N334" s="99" t="inlineStr">
        <is>
          <t>Healthy</t>
        </is>
      </c>
      <c r="O334" s="100">
        <f>G334+H334</f>
        <v/>
      </c>
      <c r="P334" s="100">
        <f>G334+H334-I334-J334</f>
        <v/>
      </c>
      <c r="Q334" s="100">
        <f>MAX(0,P334)</f>
        <v/>
      </c>
      <c r="R334" s="100">
        <f>MAX(0,-P334)</f>
        <v/>
      </c>
      <c r="S334" s="101">
        <f>IFERROR(J334/O334,0)</f>
        <v/>
      </c>
      <c r="T334" s="101">
        <f>IFERROR(I334/O334,0)</f>
        <v/>
      </c>
      <c r="U334" s="102">
        <f>IF(P334&lt;=K334,"Reorder Required","Stock Sufficient")</f>
        <v/>
      </c>
      <c r="V334" s="102">
        <f>IF(AND(Q334=M334,(U334="Reorder Required")=(N334="Reorder Required")),"OK","Mismatch")</f>
        <v/>
      </c>
      <c r="W334" s="99" t="n"/>
    </row>
    <row r="335">
      <c r="A335" s="99" t="inlineStr">
        <is>
          <t>INV00334</t>
        </is>
      </c>
      <c r="B335" s="99" t="inlineStr">
        <is>
          <t>OUT007</t>
        </is>
      </c>
      <c r="C335" s="99">
        <f>INDEX(Lookup!$B$2:$B$11,MATCH(B335,Lookup!$A$2:$A$11,0))</f>
        <v/>
      </c>
      <c r="D335" s="99" t="inlineStr">
        <is>
          <t>BP034</t>
        </is>
      </c>
      <c r="E335" s="99">
        <f>INDEX(Lookup!$E$2:$E$51,MATCH(D335,Lookup!$D$2:$D$51,0))</f>
        <v/>
      </c>
      <c r="F335" s="99">
        <f>INDEX(Lookup!$F$2:$F$51,MATCH(D335,Lookup!$D$2:$D$51,0))</f>
        <v/>
      </c>
      <c r="G335" s="100" t="n">
        <v>100</v>
      </c>
      <c r="H335" s="100" t="n">
        <v>60</v>
      </c>
      <c r="I335" s="100" t="n">
        <v>101</v>
      </c>
      <c r="J335" s="100" t="n">
        <v>3</v>
      </c>
      <c r="K335" s="100" t="n">
        <v>37</v>
      </c>
      <c r="L335" s="100" t="n">
        <v>3</v>
      </c>
      <c r="M335" s="100" t="n">
        <v>56</v>
      </c>
      <c r="N335" s="99" t="inlineStr">
        <is>
          <t>Healthy</t>
        </is>
      </c>
      <c r="O335" s="100">
        <f>G335+H335</f>
        <v/>
      </c>
      <c r="P335" s="100">
        <f>G335+H335-I335-J335</f>
        <v/>
      </c>
      <c r="Q335" s="100">
        <f>MAX(0,P335)</f>
        <v/>
      </c>
      <c r="R335" s="100">
        <f>MAX(0,-P335)</f>
        <v/>
      </c>
      <c r="S335" s="101">
        <f>IFERROR(J335/O335,0)</f>
        <v/>
      </c>
      <c r="T335" s="101">
        <f>IFERROR(I335/O335,0)</f>
        <v/>
      </c>
      <c r="U335" s="102">
        <f>IF(P335&lt;=K335,"Reorder Required","Stock Sufficient")</f>
        <v/>
      </c>
      <c r="V335" s="102">
        <f>IF(AND(Q335=M335,(U335="Reorder Required")=(N335="Reorder Required")),"OK","Mismatch")</f>
        <v/>
      </c>
      <c r="W335" s="99" t="n"/>
    </row>
    <row r="336">
      <c r="A336" s="99" t="inlineStr">
        <is>
          <t>INV00335</t>
        </is>
      </c>
      <c r="B336" s="99" t="inlineStr">
        <is>
          <t>OUT007</t>
        </is>
      </c>
      <c r="C336" s="99">
        <f>INDEX(Lookup!$B$2:$B$11,MATCH(B336,Lookup!$A$2:$A$11,0))</f>
        <v/>
      </c>
      <c r="D336" s="99" t="inlineStr">
        <is>
          <t>BP035</t>
        </is>
      </c>
      <c r="E336" s="99">
        <f>INDEX(Lookup!$E$2:$E$51,MATCH(D336,Lookup!$D$2:$D$51,0))</f>
        <v/>
      </c>
      <c r="F336" s="99">
        <f>INDEX(Lookup!$F$2:$F$51,MATCH(D336,Lookup!$D$2:$D$51,0))</f>
        <v/>
      </c>
      <c r="G336" s="100" t="n">
        <v>84</v>
      </c>
      <c r="H336" s="100" t="n">
        <v>59</v>
      </c>
      <c r="I336" s="100" t="n">
        <v>52</v>
      </c>
      <c r="J336" s="100" t="n">
        <v>5</v>
      </c>
      <c r="K336" s="100" t="n">
        <v>33</v>
      </c>
      <c r="L336" s="100" t="n">
        <v>1</v>
      </c>
      <c r="M336" s="100" t="n">
        <v>86</v>
      </c>
      <c r="N336" s="99" t="inlineStr">
        <is>
          <t>Healthy</t>
        </is>
      </c>
      <c r="O336" s="100">
        <f>G336+H336</f>
        <v/>
      </c>
      <c r="P336" s="100">
        <f>G336+H336-I336-J336</f>
        <v/>
      </c>
      <c r="Q336" s="100">
        <f>MAX(0,P336)</f>
        <v/>
      </c>
      <c r="R336" s="100">
        <f>MAX(0,-P336)</f>
        <v/>
      </c>
      <c r="S336" s="101">
        <f>IFERROR(J336/O336,0)</f>
        <v/>
      </c>
      <c r="T336" s="101">
        <f>IFERROR(I336/O336,0)</f>
        <v/>
      </c>
      <c r="U336" s="102">
        <f>IF(P336&lt;=K336,"Reorder Required","Stock Sufficient")</f>
        <v/>
      </c>
      <c r="V336" s="102">
        <f>IF(AND(Q336=M336,(U336="Reorder Required")=(N336="Reorder Required")),"OK","Mismatch")</f>
        <v/>
      </c>
      <c r="W336" s="99" t="n"/>
    </row>
    <row r="337">
      <c r="A337" s="99" t="inlineStr">
        <is>
          <t>INV00336</t>
        </is>
      </c>
      <c r="B337" s="99" t="inlineStr">
        <is>
          <t>OUT007</t>
        </is>
      </c>
      <c r="C337" s="99">
        <f>INDEX(Lookup!$B$2:$B$11,MATCH(B337,Lookup!$A$2:$A$11,0))</f>
        <v/>
      </c>
      <c r="D337" s="99" t="inlineStr">
        <is>
          <t>BP036</t>
        </is>
      </c>
      <c r="E337" s="99">
        <f>INDEX(Lookup!$E$2:$E$51,MATCH(D337,Lookup!$D$2:$D$51,0))</f>
        <v/>
      </c>
      <c r="F337" s="99">
        <f>INDEX(Lookup!$F$2:$F$51,MATCH(D337,Lookup!$D$2:$D$51,0))</f>
        <v/>
      </c>
      <c r="G337" s="100" t="n">
        <v>96</v>
      </c>
      <c r="H337" s="100" t="n">
        <v>81</v>
      </c>
      <c r="I337" s="100" t="n">
        <v>90</v>
      </c>
      <c r="J337" s="100" t="n">
        <v>6</v>
      </c>
      <c r="K337" s="100" t="n">
        <v>29</v>
      </c>
      <c r="L337" s="100" t="n">
        <v>4</v>
      </c>
      <c r="M337" s="100" t="n">
        <v>81</v>
      </c>
      <c r="N337" s="99" t="inlineStr">
        <is>
          <t>Healthy</t>
        </is>
      </c>
      <c r="O337" s="100">
        <f>G337+H337</f>
        <v/>
      </c>
      <c r="P337" s="100">
        <f>G337+H337-I337-J337</f>
        <v/>
      </c>
      <c r="Q337" s="100">
        <f>MAX(0,P337)</f>
        <v/>
      </c>
      <c r="R337" s="100">
        <f>MAX(0,-P337)</f>
        <v/>
      </c>
      <c r="S337" s="101">
        <f>IFERROR(J337/O337,0)</f>
        <v/>
      </c>
      <c r="T337" s="101">
        <f>IFERROR(I337/O337,0)</f>
        <v/>
      </c>
      <c r="U337" s="102">
        <f>IF(P337&lt;=K337,"Reorder Required","Stock Sufficient")</f>
        <v/>
      </c>
      <c r="V337" s="102">
        <f>IF(AND(Q337=M337,(U337="Reorder Required")=(N337="Reorder Required")),"OK","Mismatch")</f>
        <v/>
      </c>
      <c r="W337" s="99" t="n"/>
    </row>
    <row r="338">
      <c r="A338" s="99" t="inlineStr">
        <is>
          <t>INV00337</t>
        </is>
      </c>
      <c r="B338" s="99" t="inlineStr">
        <is>
          <t>OUT007</t>
        </is>
      </c>
      <c r="C338" s="99">
        <f>INDEX(Lookup!$B$2:$B$11,MATCH(B338,Lookup!$A$2:$A$11,0))</f>
        <v/>
      </c>
      <c r="D338" s="99" t="inlineStr">
        <is>
          <t>BP037</t>
        </is>
      </c>
      <c r="E338" s="99">
        <f>INDEX(Lookup!$E$2:$E$51,MATCH(D338,Lookup!$D$2:$D$51,0))</f>
        <v/>
      </c>
      <c r="F338" s="99">
        <f>INDEX(Lookup!$F$2:$F$51,MATCH(D338,Lookup!$D$2:$D$51,0))</f>
        <v/>
      </c>
      <c r="G338" s="100" t="n">
        <v>73</v>
      </c>
      <c r="H338" s="100" t="n">
        <v>42</v>
      </c>
      <c r="I338" s="100" t="n">
        <v>119</v>
      </c>
      <c r="J338" s="100" t="n">
        <v>5</v>
      </c>
      <c r="K338" s="100" t="n">
        <v>38</v>
      </c>
      <c r="L338" s="100" t="n">
        <v>2</v>
      </c>
      <c r="M338" s="100" t="n">
        <v>0</v>
      </c>
      <c r="N338" s="99" t="inlineStr">
        <is>
          <t>Reorder Required</t>
        </is>
      </c>
      <c r="O338" s="100">
        <f>G338+H338</f>
        <v/>
      </c>
      <c r="P338" s="100">
        <f>G338+H338-I338-J338</f>
        <v/>
      </c>
      <c r="Q338" s="100">
        <f>MAX(0,P338)</f>
        <v/>
      </c>
      <c r="R338" s="100">
        <f>MAX(0,-P338)</f>
        <v/>
      </c>
      <c r="S338" s="101">
        <f>IFERROR(J338/O338,0)</f>
        <v/>
      </c>
      <c r="T338" s="101">
        <f>IFERROR(I338/O338,0)</f>
        <v/>
      </c>
      <c r="U338" s="102">
        <f>IF(P338&lt;=K338,"Reorder Required","Stock Sufficient")</f>
        <v/>
      </c>
      <c r="V338" s="102">
        <f>IF(AND(Q338=M338,(U338="Reorder Required")=(N338="Reorder Required")),"OK","Mismatch")</f>
        <v/>
      </c>
      <c r="W338" s="99" t="inlineStr">
        <is>
          <t>Restock immediately</t>
        </is>
      </c>
    </row>
    <row r="339">
      <c r="A339" s="99" t="inlineStr">
        <is>
          <t>INV00338</t>
        </is>
      </c>
      <c r="B339" s="99" t="inlineStr">
        <is>
          <t>OUT007</t>
        </is>
      </c>
      <c r="C339" s="99">
        <f>INDEX(Lookup!$B$2:$B$11,MATCH(B339,Lookup!$A$2:$A$11,0))</f>
        <v/>
      </c>
      <c r="D339" s="99" t="inlineStr">
        <is>
          <t>BP038</t>
        </is>
      </c>
      <c r="E339" s="99">
        <f>INDEX(Lookup!$E$2:$E$51,MATCH(D339,Lookup!$D$2:$D$51,0))</f>
        <v/>
      </c>
      <c r="F339" s="99">
        <f>INDEX(Lookup!$F$2:$F$51,MATCH(D339,Lookup!$D$2:$D$51,0))</f>
        <v/>
      </c>
      <c r="G339" s="100" t="n">
        <v>61</v>
      </c>
      <c r="H339" s="100" t="n">
        <v>91</v>
      </c>
      <c r="I339" s="100" t="n">
        <v>123</v>
      </c>
      <c r="J339" s="100" t="n">
        <v>5</v>
      </c>
      <c r="K339" s="100" t="n">
        <v>38</v>
      </c>
      <c r="L339" s="100" t="n">
        <v>5</v>
      </c>
      <c r="M339" s="100" t="n">
        <v>24</v>
      </c>
      <c r="N339" s="99" t="inlineStr">
        <is>
          <t>Reorder Required</t>
        </is>
      </c>
      <c r="O339" s="100">
        <f>G339+H339</f>
        <v/>
      </c>
      <c r="P339" s="100">
        <f>G339+H339-I339-J339</f>
        <v/>
      </c>
      <c r="Q339" s="100">
        <f>MAX(0,P339)</f>
        <v/>
      </c>
      <c r="R339" s="100">
        <f>MAX(0,-P339)</f>
        <v/>
      </c>
      <c r="S339" s="101">
        <f>IFERROR(J339/O339,0)</f>
        <v/>
      </c>
      <c r="T339" s="101">
        <f>IFERROR(I339/O339,0)</f>
        <v/>
      </c>
      <c r="U339" s="102">
        <f>IF(P339&lt;=K339,"Reorder Required","Stock Sufficient")</f>
        <v/>
      </c>
      <c r="V339" s="102">
        <f>IF(AND(Q339=M339,(U339="Reorder Required")=(N339="Reorder Required")),"OK","Mismatch")</f>
        <v/>
      </c>
      <c r="W339" s="99" t="inlineStr">
        <is>
          <t>Restock immediately</t>
        </is>
      </c>
    </row>
    <row r="340">
      <c r="A340" s="99" t="inlineStr">
        <is>
          <t>INV00339</t>
        </is>
      </c>
      <c r="B340" s="99" t="inlineStr">
        <is>
          <t>OUT007</t>
        </is>
      </c>
      <c r="C340" s="99">
        <f>INDEX(Lookup!$B$2:$B$11,MATCH(B340,Lookup!$A$2:$A$11,0))</f>
        <v/>
      </c>
      <c r="D340" s="99" t="inlineStr">
        <is>
          <t>BP039</t>
        </is>
      </c>
      <c r="E340" s="99">
        <f>INDEX(Lookup!$E$2:$E$51,MATCH(D340,Lookup!$D$2:$D$51,0))</f>
        <v/>
      </c>
      <c r="F340" s="99">
        <f>INDEX(Lookup!$F$2:$F$51,MATCH(D340,Lookup!$D$2:$D$51,0))</f>
        <v/>
      </c>
      <c r="G340" s="100" t="n">
        <v>102</v>
      </c>
      <c r="H340" s="100" t="n">
        <v>53</v>
      </c>
      <c r="I340" s="100" t="n">
        <v>109</v>
      </c>
      <c r="J340" s="100" t="n">
        <v>6</v>
      </c>
      <c r="K340" s="100" t="n">
        <v>25</v>
      </c>
      <c r="L340" s="100" t="n">
        <v>3</v>
      </c>
      <c r="M340" s="100" t="n">
        <v>40</v>
      </c>
      <c r="N340" s="99" t="inlineStr">
        <is>
          <t>Healthy</t>
        </is>
      </c>
      <c r="O340" s="100">
        <f>G340+H340</f>
        <v/>
      </c>
      <c r="P340" s="100">
        <f>G340+H340-I340-J340</f>
        <v/>
      </c>
      <c r="Q340" s="100">
        <f>MAX(0,P340)</f>
        <v/>
      </c>
      <c r="R340" s="100">
        <f>MAX(0,-P340)</f>
        <v/>
      </c>
      <c r="S340" s="101">
        <f>IFERROR(J340/O340,0)</f>
        <v/>
      </c>
      <c r="T340" s="101">
        <f>IFERROR(I340/O340,0)</f>
        <v/>
      </c>
      <c r="U340" s="102">
        <f>IF(P340&lt;=K340,"Reorder Required","Stock Sufficient")</f>
        <v/>
      </c>
      <c r="V340" s="102">
        <f>IF(AND(Q340=M340,(U340="Reorder Required")=(N340="Reorder Required")),"OK","Mismatch")</f>
        <v/>
      </c>
      <c r="W340" s="99" t="n"/>
    </row>
    <row r="341">
      <c r="A341" s="99" t="inlineStr">
        <is>
          <t>INV00340</t>
        </is>
      </c>
      <c r="B341" s="99" t="inlineStr">
        <is>
          <t>OUT007</t>
        </is>
      </c>
      <c r="C341" s="99">
        <f>INDEX(Lookup!$B$2:$B$11,MATCH(B341,Lookup!$A$2:$A$11,0))</f>
        <v/>
      </c>
      <c r="D341" s="99" t="inlineStr">
        <is>
          <t>BP040</t>
        </is>
      </c>
      <c r="E341" s="99">
        <f>INDEX(Lookup!$E$2:$E$51,MATCH(D341,Lookup!$D$2:$D$51,0))</f>
        <v/>
      </c>
      <c r="F341" s="99">
        <f>INDEX(Lookup!$F$2:$F$51,MATCH(D341,Lookup!$D$2:$D$51,0))</f>
        <v/>
      </c>
      <c r="G341" s="100" t="n">
        <v>44</v>
      </c>
      <c r="H341" s="100" t="n">
        <v>61</v>
      </c>
      <c r="I341" s="100" t="n">
        <v>84</v>
      </c>
      <c r="J341" s="100" t="n">
        <v>5</v>
      </c>
      <c r="K341" s="100" t="n">
        <v>17</v>
      </c>
      <c r="L341" s="100" t="n">
        <v>2</v>
      </c>
      <c r="M341" s="100" t="n">
        <v>16</v>
      </c>
      <c r="N341" s="99" t="inlineStr">
        <is>
          <t>Reorder Required</t>
        </is>
      </c>
      <c r="O341" s="100">
        <f>G341+H341</f>
        <v/>
      </c>
      <c r="P341" s="100">
        <f>G341+H341-I341-J341</f>
        <v/>
      </c>
      <c r="Q341" s="100">
        <f>MAX(0,P341)</f>
        <v/>
      </c>
      <c r="R341" s="100">
        <f>MAX(0,-P341)</f>
        <v/>
      </c>
      <c r="S341" s="101">
        <f>IFERROR(J341/O341,0)</f>
        <v/>
      </c>
      <c r="T341" s="101">
        <f>IFERROR(I341/O341,0)</f>
        <v/>
      </c>
      <c r="U341" s="102">
        <f>IF(P341&lt;=K341,"Reorder Required","Stock Sufficient")</f>
        <v/>
      </c>
      <c r="V341" s="102">
        <f>IF(AND(Q341=M341,(U341="Reorder Required")=(N341="Reorder Required")),"OK","Mismatch")</f>
        <v/>
      </c>
      <c r="W341" s="99" t="inlineStr">
        <is>
          <t>Restock immediately</t>
        </is>
      </c>
    </row>
    <row r="342">
      <c r="A342" s="99" t="inlineStr">
        <is>
          <t>INV00341</t>
        </is>
      </c>
      <c r="B342" s="99" t="inlineStr">
        <is>
          <t>OUT007</t>
        </is>
      </c>
      <c r="C342" s="99">
        <f>INDEX(Lookup!$B$2:$B$11,MATCH(B342,Lookup!$A$2:$A$11,0))</f>
        <v/>
      </c>
      <c r="D342" s="99" t="inlineStr">
        <is>
          <t>BP041</t>
        </is>
      </c>
      <c r="E342" s="99">
        <f>INDEX(Lookup!$E$2:$E$51,MATCH(D342,Lookup!$D$2:$D$51,0))</f>
        <v/>
      </c>
      <c r="F342" s="99">
        <f>INDEX(Lookup!$F$2:$F$51,MATCH(D342,Lookup!$D$2:$D$51,0))</f>
        <v/>
      </c>
      <c r="G342" s="100" t="n">
        <v>49</v>
      </c>
      <c r="H342" s="100" t="n">
        <v>28</v>
      </c>
      <c r="I342" s="100" t="n">
        <v>41</v>
      </c>
      <c r="J342" s="100" t="n">
        <v>1</v>
      </c>
      <c r="K342" s="100" t="n">
        <v>31</v>
      </c>
      <c r="L342" s="100" t="n">
        <v>5</v>
      </c>
      <c r="M342" s="100" t="n">
        <v>35</v>
      </c>
      <c r="N342" s="99" t="inlineStr">
        <is>
          <t>Healthy</t>
        </is>
      </c>
      <c r="O342" s="100">
        <f>G342+H342</f>
        <v/>
      </c>
      <c r="P342" s="100">
        <f>G342+H342-I342-J342</f>
        <v/>
      </c>
      <c r="Q342" s="100">
        <f>MAX(0,P342)</f>
        <v/>
      </c>
      <c r="R342" s="100">
        <f>MAX(0,-P342)</f>
        <v/>
      </c>
      <c r="S342" s="101">
        <f>IFERROR(J342/O342,0)</f>
        <v/>
      </c>
      <c r="T342" s="101">
        <f>IFERROR(I342/O342,0)</f>
        <v/>
      </c>
      <c r="U342" s="102">
        <f>IF(P342&lt;=K342,"Reorder Required","Stock Sufficient")</f>
        <v/>
      </c>
      <c r="V342" s="102">
        <f>IF(AND(Q342=M342,(U342="Reorder Required")=(N342="Reorder Required")),"OK","Mismatch")</f>
        <v/>
      </c>
      <c r="W342" s="99" t="n"/>
    </row>
    <row r="343">
      <c r="A343" s="99" t="inlineStr">
        <is>
          <t>INV00342</t>
        </is>
      </c>
      <c r="B343" s="99" t="inlineStr">
        <is>
          <t>OUT007</t>
        </is>
      </c>
      <c r="C343" s="99">
        <f>INDEX(Lookup!$B$2:$B$11,MATCH(B343,Lookup!$A$2:$A$11,0))</f>
        <v/>
      </c>
      <c r="D343" s="99" t="inlineStr">
        <is>
          <t>BP042</t>
        </is>
      </c>
      <c r="E343" s="99">
        <f>INDEX(Lookup!$E$2:$E$51,MATCH(D343,Lookup!$D$2:$D$51,0))</f>
        <v/>
      </c>
      <c r="F343" s="99">
        <f>INDEX(Lookup!$F$2:$F$51,MATCH(D343,Lookup!$D$2:$D$51,0))</f>
        <v/>
      </c>
      <c r="G343" s="100" t="n">
        <v>63</v>
      </c>
      <c r="H343" s="100" t="n">
        <v>50</v>
      </c>
      <c r="I343" s="100" t="n">
        <v>137</v>
      </c>
      <c r="J343" s="100" t="n">
        <v>1</v>
      </c>
      <c r="K343" s="100" t="n">
        <v>22</v>
      </c>
      <c r="L343" s="100" t="n">
        <v>3</v>
      </c>
      <c r="M343" s="100" t="n">
        <v>0</v>
      </c>
      <c r="N343" s="99" t="inlineStr">
        <is>
          <t>Reorder Required</t>
        </is>
      </c>
      <c r="O343" s="100">
        <f>G343+H343</f>
        <v/>
      </c>
      <c r="P343" s="100">
        <f>G343+H343-I343-J343</f>
        <v/>
      </c>
      <c r="Q343" s="100">
        <f>MAX(0,P343)</f>
        <v/>
      </c>
      <c r="R343" s="100">
        <f>MAX(0,-P343)</f>
        <v/>
      </c>
      <c r="S343" s="101">
        <f>IFERROR(J343/O343,0)</f>
        <v/>
      </c>
      <c r="T343" s="101">
        <f>IFERROR(I343/O343,0)</f>
        <v/>
      </c>
      <c r="U343" s="102">
        <f>IF(P343&lt;=K343,"Reorder Required","Stock Sufficient")</f>
        <v/>
      </c>
      <c r="V343" s="102">
        <f>IF(AND(Q343=M343,(U343="Reorder Required")=(N343="Reorder Required")),"OK","Mismatch")</f>
        <v/>
      </c>
      <c r="W343" s="99" t="inlineStr">
        <is>
          <t>Restock immediately</t>
        </is>
      </c>
    </row>
    <row r="344">
      <c r="A344" s="99" t="inlineStr">
        <is>
          <t>INV00343</t>
        </is>
      </c>
      <c r="B344" s="99" t="inlineStr">
        <is>
          <t>OUT007</t>
        </is>
      </c>
      <c r="C344" s="99">
        <f>INDEX(Lookup!$B$2:$B$11,MATCH(B344,Lookup!$A$2:$A$11,0))</f>
        <v/>
      </c>
      <c r="D344" s="99" t="inlineStr">
        <is>
          <t>BP043</t>
        </is>
      </c>
      <c r="E344" s="99">
        <f>INDEX(Lookup!$E$2:$E$51,MATCH(D344,Lookup!$D$2:$D$51,0))</f>
        <v/>
      </c>
      <c r="F344" s="99">
        <f>INDEX(Lookup!$F$2:$F$51,MATCH(D344,Lookup!$D$2:$D$51,0))</f>
        <v/>
      </c>
      <c r="G344" s="100" t="n">
        <v>83</v>
      </c>
      <c r="H344" s="100" t="n">
        <v>90</v>
      </c>
      <c r="I344" s="100" t="n">
        <v>51</v>
      </c>
      <c r="J344" s="100" t="n">
        <v>2</v>
      </c>
      <c r="K344" s="100" t="n">
        <v>16</v>
      </c>
      <c r="L344" s="100" t="n">
        <v>1</v>
      </c>
      <c r="M344" s="100" t="n">
        <v>120</v>
      </c>
      <c r="N344" s="99" t="inlineStr">
        <is>
          <t>Healthy</t>
        </is>
      </c>
      <c r="O344" s="100">
        <f>G344+H344</f>
        <v/>
      </c>
      <c r="P344" s="100">
        <f>G344+H344-I344-J344</f>
        <v/>
      </c>
      <c r="Q344" s="100">
        <f>MAX(0,P344)</f>
        <v/>
      </c>
      <c r="R344" s="100">
        <f>MAX(0,-P344)</f>
        <v/>
      </c>
      <c r="S344" s="101">
        <f>IFERROR(J344/O344,0)</f>
        <v/>
      </c>
      <c r="T344" s="101">
        <f>IFERROR(I344/O344,0)</f>
        <v/>
      </c>
      <c r="U344" s="102">
        <f>IF(P344&lt;=K344,"Reorder Required","Stock Sufficient")</f>
        <v/>
      </c>
      <c r="V344" s="102">
        <f>IF(AND(Q344=M344,(U344="Reorder Required")=(N344="Reorder Required")),"OK","Mismatch")</f>
        <v/>
      </c>
      <c r="W344" s="99" t="n"/>
    </row>
    <row r="345">
      <c r="A345" s="99" t="inlineStr">
        <is>
          <t>INV00344</t>
        </is>
      </c>
      <c r="B345" s="99" t="inlineStr">
        <is>
          <t>OUT007</t>
        </is>
      </c>
      <c r="C345" s="99">
        <f>INDEX(Lookup!$B$2:$B$11,MATCH(B345,Lookup!$A$2:$A$11,0))</f>
        <v/>
      </c>
      <c r="D345" s="99" t="inlineStr">
        <is>
          <t>BP044</t>
        </is>
      </c>
      <c r="E345" s="99">
        <f>INDEX(Lookup!$E$2:$E$51,MATCH(D345,Lookup!$D$2:$D$51,0))</f>
        <v/>
      </c>
      <c r="F345" s="99">
        <f>INDEX(Lookup!$F$2:$F$51,MATCH(D345,Lookup!$D$2:$D$51,0))</f>
        <v/>
      </c>
      <c r="G345" s="100" t="n">
        <v>79</v>
      </c>
      <c r="H345" s="100" t="n">
        <v>60</v>
      </c>
      <c r="I345" s="100" t="n">
        <v>120</v>
      </c>
      <c r="J345" s="100" t="n">
        <v>1</v>
      </c>
      <c r="K345" s="100" t="n">
        <v>33</v>
      </c>
      <c r="L345" s="100" t="n">
        <v>5</v>
      </c>
      <c r="M345" s="100" t="n">
        <v>18</v>
      </c>
      <c r="N345" s="99" t="inlineStr">
        <is>
          <t>Reorder Required</t>
        </is>
      </c>
      <c r="O345" s="100">
        <f>G345+H345</f>
        <v/>
      </c>
      <c r="P345" s="100">
        <f>G345+H345-I345-J345</f>
        <v/>
      </c>
      <c r="Q345" s="100">
        <f>MAX(0,P345)</f>
        <v/>
      </c>
      <c r="R345" s="100">
        <f>MAX(0,-P345)</f>
        <v/>
      </c>
      <c r="S345" s="101">
        <f>IFERROR(J345/O345,0)</f>
        <v/>
      </c>
      <c r="T345" s="101">
        <f>IFERROR(I345/O345,0)</f>
        <v/>
      </c>
      <c r="U345" s="102">
        <f>IF(P345&lt;=K345,"Reorder Required","Stock Sufficient")</f>
        <v/>
      </c>
      <c r="V345" s="102">
        <f>IF(AND(Q345=M345,(U345="Reorder Required")=(N345="Reorder Required")),"OK","Mismatch")</f>
        <v/>
      </c>
      <c r="W345" s="99" t="inlineStr">
        <is>
          <t>Restock immediately</t>
        </is>
      </c>
    </row>
    <row r="346">
      <c r="A346" s="99" t="inlineStr">
        <is>
          <t>INV00345</t>
        </is>
      </c>
      <c r="B346" s="99" t="inlineStr">
        <is>
          <t>OUT007</t>
        </is>
      </c>
      <c r="C346" s="99">
        <f>INDEX(Lookup!$B$2:$B$11,MATCH(B346,Lookup!$A$2:$A$11,0))</f>
        <v/>
      </c>
      <c r="D346" s="99" t="inlineStr">
        <is>
          <t>BP045</t>
        </is>
      </c>
      <c r="E346" s="99">
        <f>INDEX(Lookup!$E$2:$E$51,MATCH(D346,Lookup!$D$2:$D$51,0))</f>
        <v/>
      </c>
      <c r="F346" s="99">
        <f>INDEX(Lookup!$F$2:$F$51,MATCH(D346,Lookup!$D$2:$D$51,0))</f>
        <v/>
      </c>
      <c r="G346" s="100" t="n">
        <v>104</v>
      </c>
      <c r="H346" s="100" t="n">
        <v>22</v>
      </c>
      <c r="I346" s="100" t="n">
        <v>43</v>
      </c>
      <c r="J346" s="100" t="n">
        <v>0</v>
      </c>
      <c r="K346" s="100" t="n">
        <v>32</v>
      </c>
      <c r="L346" s="100" t="n">
        <v>4</v>
      </c>
      <c r="M346" s="100" t="n">
        <v>83</v>
      </c>
      <c r="N346" s="99" t="inlineStr">
        <is>
          <t>Healthy</t>
        </is>
      </c>
      <c r="O346" s="100">
        <f>G346+H346</f>
        <v/>
      </c>
      <c r="P346" s="100">
        <f>G346+H346-I346-J346</f>
        <v/>
      </c>
      <c r="Q346" s="100">
        <f>MAX(0,P346)</f>
        <v/>
      </c>
      <c r="R346" s="100">
        <f>MAX(0,-P346)</f>
        <v/>
      </c>
      <c r="S346" s="101">
        <f>IFERROR(J346/O346,0)</f>
        <v/>
      </c>
      <c r="T346" s="101">
        <f>IFERROR(I346/O346,0)</f>
        <v/>
      </c>
      <c r="U346" s="102">
        <f>IF(P346&lt;=K346,"Reorder Required","Stock Sufficient")</f>
        <v/>
      </c>
      <c r="V346" s="102">
        <f>IF(AND(Q346=M346,(U346="Reorder Required")=(N346="Reorder Required")),"OK","Mismatch")</f>
        <v/>
      </c>
      <c r="W346" s="99" t="n"/>
    </row>
    <row r="347">
      <c r="A347" s="99" t="inlineStr">
        <is>
          <t>INV00346</t>
        </is>
      </c>
      <c r="B347" s="99" t="inlineStr">
        <is>
          <t>OUT007</t>
        </is>
      </c>
      <c r="C347" s="99">
        <f>INDEX(Lookup!$B$2:$B$11,MATCH(B347,Lookup!$A$2:$A$11,0))</f>
        <v/>
      </c>
      <c r="D347" s="99" t="inlineStr">
        <is>
          <t>BP046</t>
        </is>
      </c>
      <c r="E347" s="99">
        <f>INDEX(Lookup!$E$2:$E$51,MATCH(D347,Lookup!$D$2:$D$51,0))</f>
        <v/>
      </c>
      <c r="F347" s="99">
        <f>INDEX(Lookup!$F$2:$F$51,MATCH(D347,Lookup!$D$2:$D$51,0))</f>
        <v/>
      </c>
      <c r="G347" s="100" t="n">
        <v>111</v>
      </c>
      <c r="H347" s="100" t="n">
        <v>35</v>
      </c>
      <c r="I347" s="100" t="n">
        <v>112</v>
      </c>
      <c r="J347" s="100" t="n">
        <v>0</v>
      </c>
      <c r="K347" s="100" t="n">
        <v>35</v>
      </c>
      <c r="L347" s="100" t="n">
        <v>2</v>
      </c>
      <c r="M347" s="100" t="n">
        <v>34</v>
      </c>
      <c r="N347" s="99" t="inlineStr">
        <is>
          <t>Reorder Required</t>
        </is>
      </c>
      <c r="O347" s="100">
        <f>G347+H347</f>
        <v/>
      </c>
      <c r="P347" s="100">
        <f>G347+H347-I347-J347</f>
        <v/>
      </c>
      <c r="Q347" s="100">
        <f>MAX(0,P347)</f>
        <v/>
      </c>
      <c r="R347" s="100">
        <f>MAX(0,-P347)</f>
        <v/>
      </c>
      <c r="S347" s="101">
        <f>IFERROR(J347/O347,0)</f>
        <v/>
      </c>
      <c r="T347" s="101">
        <f>IFERROR(I347/O347,0)</f>
        <v/>
      </c>
      <c r="U347" s="102">
        <f>IF(P347&lt;=K347,"Reorder Required","Stock Sufficient")</f>
        <v/>
      </c>
      <c r="V347" s="102">
        <f>IF(AND(Q347=M347,(U347="Reorder Required")=(N347="Reorder Required")),"OK","Mismatch")</f>
        <v/>
      </c>
      <c r="W347" s="99" t="inlineStr">
        <is>
          <t>Restock immediately</t>
        </is>
      </c>
    </row>
    <row r="348">
      <c r="A348" s="99" t="inlineStr">
        <is>
          <t>INV00347</t>
        </is>
      </c>
      <c r="B348" s="99" t="inlineStr">
        <is>
          <t>OUT007</t>
        </is>
      </c>
      <c r="C348" s="99">
        <f>INDEX(Lookup!$B$2:$B$11,MATCH(B348,Lookup!$A$2:$A$11,0))</f>
        <v/>
      </c>
      <c r="D348" s="99" t="inlineStr">
        <is>
          <t>BP047</t>
        </is>
      </c>
      <c r="E348" s="99">
        <f>INDEX(Lookup!$E$2:$E$51,MATCH(D348,Lookup!$D$2:$D$51,0))</f>
        <v/>
      </c>
      <c r="F348" s="99">
        <f>INDEX(Lookup!$F$2:$F$51,MATCH(D348,Lookup!$D$2:$D$51,0))</f>
        <v/>
      </c>
      <c r="G348" s="100" t="n">
        <v>103</v>
      </c>
      <c r="H348" s="100" t="n">
        <v>38</v>
      </c>
      <c r="I348" s="100" t="n">
        <v>57</v>
      </c>
      <c r="J348" s="100" t="n">
        <v>0</v>
      </c>
      <c r="K348" s="100" t="n">
        <v>35</v>
      </c>
      <c r="L348" s="100" t="n">
        <v>5</v>
      </c>
      <c r="M348" s="100" t="n">
        <v>84</v>
      </c>
      <c r="N348" s="99" t="inlineStr">
        <is>
          <t>Healthy</t>
        </is>
      </c>
      <c r="O348" s="100">
        <f>G348+H348</f>
        <v/>
      </c>
      <c r="P348" s="100">
        <f>G348+H348-I348-J348</f>
        <v/>
      </c>
      <c r="Q348" s="100">
        <f>MAX(0,P348)</f>
        <v/>
      </c>
      <c r="R348" s="100">
        <f>MAX(0,-P348)</f>
        <v/>
      </c>
      <c r="S348" s="101">
        <f>IFERROR(J348/O348,0)</f>
        <v/>
      </c>
      <c r="T348" s="101">
        <f>IFERROR(I348/O348,0)</f>
        <v/>
      </c>
      <c r="U348" s="102">
        <f>IF(P348&lt;=K348,"Reorder Required","Stock Sufficient")</f>
        <v/>
      </c>
      <c r="V348" s="102">
        <f>IF(AND(Q348=M348,(U348="Reorder Required")=(N348="Reorder Required")),"OK","Mismatch")</f>
        <v/>
      </c>
      <c r="W348" s="99" t="n"/>
    </row>
    <row r="349">
      <c r="A349" s="99" t="inlineStr">
        <is>
          <t>INV00348</t>
        </is>
      </c>
      <c r="B349" s="99" t="inlineStr">
        <is>
          <t>OUT007</t>
        </is>
      </c>
      <c r="C349" s="99">
        <f>INDEX(Lookup!$B$2:$B$11,MATCH(B349,Lookup!$A$2:$A$11,0))</f>
        <v/>
      </c>
      <c r="D349" s="99" t="inlineStr">
        <is>
          <t>BP048</t>
        </is>
      </c>
      <c r="E349" s="99">
        <f>INDEX(Lookup!$E$2:$E$51,MATCH(D349,Lookup!$D$2:$D$51,0))</f>
        <v/>
      </c>
      <c r="F349" s="99">
        <f>INDEX(Lookup!$F$2:$F$51,MATCH(D349,Lookup!$D$2:$D$51,0))</f>
        <v/>
      </c>
      <c r="G349" s="100" t="n">
        <v>116</v>
      </c>
      <c r="H349" s="100" t="n">
        <v>80</v>
      </c>
      <c r="I349" s="100" t="n">
        <v>49</v>
      </c>
      <c r="J349" s="100" t="n">
        <v>0</v>
      </c>
      <c r="K349" s="100" t="n">
        <v>22</v>
      </c>
      <c r="L349" s="100" t="n">
        <v>1</v>
      </c>
      <c r="M349" s="100" t="n">
        <v>147</v>
      </c>
      <c r="N349" s="99" t="inlineStr">
        <is>
          <t>Healthy</t>
        </is>
      </c>
      <c r="O349" s="100">
        <f>G349+H349</f>
        <v/>
      </c>
      <c r="P349" s="100">
        <f>G349+H349-I349-J349</f>
        <v/>
      </c>
      <c r="Q349" s="100">
        <f>MAX(0,P349)</f>
        <v/>
      </c>
      <c r="R349" s="100">
        <f>MAX(0,-P349)</f>
        <v/>
      </c>
      <c r="S349" s="101">
        <f>IFERROR(J349/O349,0)</f>
        <v/>
      </c>
      <c r="T349" s="101">
        <f>IFERROR(I349/O349,0)</f>
        <v/>
      </c>
      <c r="U349" s="102">
        <f>IF(P349&lt;=K349,"Reorder Required","Stock Sufficient")</f>
        <v/>
      </c>
      <c r="V349" s="102">
        <f>IF(AND(Q349=M349,(U349="Reorder Required")=(N349="Reorder Required")),"OK","Mismatch")</f>
        <v/>
      </c>
      <c r="W349" s="99" t="n"/>
    </row>
    <row r="350">
      <c r="A350" s="99" t="inlineStr">
        <is>
          <t>INV00349</t>
        </is>
      </c>
      <c r="B350" s="99" t="inlineStr">
        <is>
          <t>OUT007</t>
        </is>
      </c>
      <c r="C350" s="99">
        <f>INDEX(Lookup!$B$2:$B$11,MATCH(B350,Lookup!$A$2:$A$11,0))</f>
        <v/>
      </c>
      <c r="D350" s="99" t="inlineStr">
        <is>
          <t>BP049</t>
        </is>
      </c>
      <c r="E350" s="99">
        <f>INDEX(Lookup!$E$2:$E$51,MATCH(D350,Lookup!$D$2:$D$51,0))</f>
        <v/>
      </c>
      <c r="F350" s="99">
        <f>INDEX(Lookup!$F$2:$F$51,MATCH(D350,Lookup!$D$2:$D$51,0))</f>
        <v/>
      </c>
      <c r="G350" s="100" t="n">
        <v>143</v>
      </c>
      <c r="H350" s="100" t="n">
        <v>69</v>
      </c>
      <c r="I350" s="100" t="n">
        <v>116</v>
      </c>
      <c r="J350" s="100" t="n">
        <v>0</v>
      </c>
      <c r="K350" s="100" t="n">
        <v>15</v>
      </c>
      <c r="L350" s="100" t="n">
        <v>3</v>
      </c>
      <c r="M350" s="100" t="n">
        <v>96</v>
      </c>
      <c r="N350" s="99" t="inlineStr">
        <is>
          <t>Healthy</t>
        </is>
      </c>
      <c r="O350" s="100">
        <f>G350+H350</f>
        <v/>
      </c>
      <c r="P350" s="100">
        <f>G350+H350-I350-J350</f>
        <v/>
      </c>
      <c r="Q350" s="100">
        <f>MAX(0,P350)</f>
        <v/>
      </c>
      <c r="R350" s="100">
        <f>MAX(0,-P350)</f>
        <v/>
      </c>
      <c r="S350" s="101">
        <f>IFERROR(J350/O350,0)</f>
        <v/>
      </c>
      <c r="T350" s="101">
        <f>IFERROR(I350/O350,0)</f>
        <v/>
      </c>
      <c r="U350" s="102">
        <f>IF(P350&lt;=K350,"Reorder Required","Stock Sufficient")</f>
        <v/>
      </c>
      <c r="V350" s="102">
        <f>IF(AND(Q350=M350,(U350="Reorder Required")=(N350="Reorder Required")),"OK","Mismatch")</f>
        <v/>
      </c>
      <c r="W350" s="99" t="n"/>
    </row>
    <row r="351">
      <c r="A351" s="99" t="inlineStr">
        <is>
          <t>INV00350</t>
        </is>
      </c>
      <c r="B351" s="99" t="inlineStr">
        <is>
          <t>OUT007</t>
        </is>
      </c>
      <c r="C351" s="99">
        <f>INDEX(Lookup!$B$2:$B$11,MATCH(B351,Lookup!$A$2:$A$11,0))</f>
        <v/>
      </c>
      <c r="D351" s="99" t="inlineStr">
        <is>
          <t>BP050</t>
        </is>
      </c>
      <c r="E351" s="99">
        <f>INDEX(Lookup!$E$2:$E$51,MATCH(D351,Lookup!$D$2:$D$51,0))</f>
        <v/>
      </c>
      <c r="F351" s="99">
        <f>INDEX(Lookup!$F$2:$F$51,MATCH(D351,Lookup!$D$2:$D$51,0))</f>
        <v/>
      </c>
      <c r="G351" s="100" t="n">
        <v>116</v>
      </c>
      <c r="H351" s="100" t="n">
        <v>23</v>
      </c>
      <c r="I351" s="100" t="n">
        <v>39</v>
      </c>
      <c r="J351" s="100" t="n">
        <v>0</v>
      </c>
      <c r="K351" s="100" t="n">
        <v>30</v>
      </c>
      <c r="L351" s="100" t="n">
        <v>4</v>
      </c>
      <c r="M351" s="100" t="n">
        <v>100</v>
      </c>
      <c r="N351" s="99" t="inlineStr">
        <is>
          <t>Healthy</t>
        </is>
      </c>
      <c r="O351" s="100">
        <f>G351+H351</f>
        <v/>
      </c>
      <c r="P351" s="100">
        <f>G351+H351-I351-J351</f>
        <v/>
      </c>
      <c r="Q351" s="100">
        <f>MAX(0,P351)</f>
        <v/>
      </c>
      <c r="R351" s="100">
        <f>MAX(0,-P351)</f>
        <v/>
      </c>
      <c r="S351" s="101">
        <f>IFERROR(J351/O351,0)</f>
        <v/>
      </c>
      <c r="T351" s="101">
        <f>IFERROR(I351/O351,0)</f>
        <v/>
      </c>
      <c r="U351" s="102">
        <f>IF(P351&lt;=K351,"Reorder Required","Stock Sufficient")</f>
        <v/>
      </c>
      <c r="V351" s="102">
        <f>IF(AND(Q351=M351,(U351="Reorder Required")=(N351="Reorder Required")),"OK","Mismatch")</f>
        <v/>
      </c>
      <c r="W351" s="99" t="n"/>
    </row>
    <row r="352">
      <c r="A352" s="99" t="inlineStr">
        <is>
          <t>INV00351</t>
        </is>
      </c>
      <c r="B352" s="99" t="inlineStr">
        <is>
          <t>OUT008</t>
        </is>
      </c>
      <c r="C352" s="99">
        <f>INDEX(Lookup!$B$2:$B$11,MATCH(B352,Lookup!$A$2:$A$11,0))</f>
        <v/>
      </c>
      <c r="D352" s="99" t="inlineStr">
        <is>
          <t>BP001</t>
        </is>
      </c>
      <c r="E352" s="99">
        <f>INDEX(Lookup!$E$2:$E$51,MATCH(D352,Lookup!$D$2:$D$51,0))</f>
        <v/>
      </c>
      <c r="F352" s="99">
        <f>INDEX(Lookup!$F$2:$F$51,MATCH(D352,Lookup!$D$2:$D$51,0))</f>
        <v/>
      </c>
      <c r="G352" s="100" t="n">
        <v>53</v>
      </c>
      <c r="H352" s="100" t="n">
        <v>27</v>
      </c>
      <c r="I352" s="100" t="n">
        <v>119</v>
      </c>
      <c r="J352" s="100" t="n">
        <v>2</v>
      </c>
      <c r="K352" s="100" t="n">
        <v>38</v>
      </c>
      <c r="L352" s="100" t="n">
        <v>4</v>
      </c>
      <c r="M352" s="100" t="n">
        <v>0</v>
      </c>
      <c r="N352" s="99" t="inlineStr">
        <is>
          <t>Reorder Required</t>
        </is>
      </c>
      <c r="O352" s="100">
        <f>G352+H352</f>
        <v/>
      </c>
      <c r="P352" s="100">
        <f>G352+H352-I352-J352</f>
        <v/>
      </c>
      <c r="Q352" s="100">
        <f>MAX(0,P352)</f>
        <v/>
      </c>
      <c r="R352" s="100">
        <f>MAX(0,-P352)</f>
        <v/>
      </c>
      <c r="S352" s="101">
        <f>IFERROR(J352/O352,0)</f>
        <v/>
      </c>
      <c r="T352" s="101">
        <f>IFERROR(I352/O352,0)</f>
        <v/>
      </c>
      <c r="U352" s="102">
        <f>IF(P352&lt;=K352,"Reorder Required","Stock Sufficient")</f>
        <v/>
      </c>
      <c r="V352" s="102">
        <f>IF(AND(Q352=M352,(U352="Reorder Required")=(N352="Reorder Required")),"OK","Mismatch")</f>
        <v/>
      </c>
      <c r="W352" s="99" t="inlineStr">
        <is>
          <t>Restock immediately</t>
        </is>
      </c>
    </row>
    <row r="353">
      <c r="A353" s="99" t="inlineStr">
        <is>
          <t>INV00352</t>
        </is>
      </c>
      <c r="B353" s="99" t="inlineStr">
        <is>
          <t>OUT008</t>
        </is>
      </c>
      <c r="C353" s="99">
        <f>INDEX(Lookup!$B$2:$B$11,MATCH(B353,Lookup!$A$2:$A$11,0))</f>
        <v/>
      </c>
      <c r="D353" s="99" t="inlineStr">
        <is>
          <t>BP002</t>
        </is>
      </c>
      <c r="E353" s="99">
        <f>INDEX(Lookup!$E$2:$E$51,MATCH(D353,Lookup!$D$2:$D$51,0))</f>
        <v/>
      </c>
      <c r="F353" s="99">
        <f>INDEX(Lookup!$F$2:$F$51,MATCH(D353,Lookup!$D$2:$D$51,0))</f>
        <v/>
      </c>
      <c r="G353" s="100" t="n">
        <v>47</v>
      </c>
      <c r="H353" s="100" t="n">
        <v>69</v>
      </c>
      <c r="I353" s="100" t="n">
        <v>100</v>
      </c>
      <c r="J353" s="100" t="n">
        <v>2</v>
      </c>
      <c r="K353" s="100" t="n">
        <v>36</v>
      </c>
      <c r="L353" s="100" t="n">
        <v>4</v>
      </c>
      <c r="M353" s="100" t="n">
        <v>14</v>
      </c>
      <c r="N353" s="99" t="inlineStr">
        <is>
          <t>Reorder Required</t>
        </is>
      </c>
      <c r="O353" s="100">
        <f>G353+H353</f>
        <v/>
      </c>
      <c r="P353" s="100">
        <f>G353+H353-I353-J353</f>
        <v/>
      </c>
      <c r="Q353" s="100">
        <f>MAX(0,P353)</f>
        <v/>
      </c>
      <c r="R353" s="100">
        <f>MAX(0,-P353)</f>
        <v/>
      </c>
      <c r="S353" s="101">
        <f>IFERROR(J353/O353,0)</f>
        <v/>
      </c>
      <c r="T353" s="101">
        <f>IFERROR(I353/O353,0)</f>
        <v/>
      </c>
      <c r="U353" s="102">
        <f>IF(P353&lt;=K353,"Reorder Required","Stock Sufficient")</f>
        <v/>
      </c>
      <c r="V353" s="102">
        <f>IF(AND(Q353=M353,(U353="Reorder Required")=(N353="Reorder Required")),"OK","Mismatch")</f>
        <v/>
      </c>
      <c r="W353" s="99" t="inlineStr">
        <is>
          <t>Restock immediately</t>
        </is>
      </c>
    </row>
    <row r="354">
      <c r="A354" s="99" t="inlineStr">
        <is>
          <t>INV00353</t>
        </is>
      </c>
      <c r="B354" s="99" t="inlineStr">
        <is>
          <t>OUT008</t>
        </is>
      </c>
      <c r="C354" s="99">
        <f>INDEX(Lookup!$B$2:$B$11,MATCH(B354,Lookup!$A$2:$A$11,0))</f>
        <v/>
      </c>
      <c r="D354" s="99" t="inlineStr">
        <is>
          <t>BP003</t>
        </is>
      </c>
      <c r="E354" s="99">
        <f>INDEX(Lookup!$E$2:$E$51,MATCH(D354,Lookup!$D$2:$D$51,0))</f>
        <v/>
      </c>
      <c r="F354" s="99">
        <f>INDEX(Lookup!$F$2:$F$51,MATCH(D354,Lookup!$D$2:$D$51,0))</f>
        <v/>
      </c>
      <c r="G354" s="100" t="n">
        <v>113</v>
      </c>
      <c r="H354" s="100" t="n">
        <v>89</v>
      </c>
      <c r="I354" s="100" t="n">
        <v>113</v>
      </c>
      <c r="J354" s="100" t="n">
        <v>3</v>
      </c>
      <c r="K354" s="100" t="n">
        <v>28</v>
      </c>
      <c r="L354" s="100" t="n">
        <v>3</v>
      </c>
      <c r="M354" s="100" t="n">
        <v>86</v>
      </c>
      <c r="N354" s="99" t="inlineStr">
        <is>
          <t>Healthy</t>
        </is>
      </c>
      <c r="O354" s="100">
        <f>G354+H354</f>
        <v/>
      </c>
      <c r="P354" s="100">
        <f>G354+H354-I354-J354</f>
        <v/>
      </c>
      <c r="Q354" s="100">
        <f>MAX(0,P354)</f>
        <v/>
      </c>
      <c r="R354" s="100">
        <f>MAX(0,-P354)</f>
        <v/>
      </c>
      <c r="S354" s="101">
        <f>IFERROR(J354/O354,0)</f>
        <v/>
      </c>
      <c r="T354" s="101">
        <f>IFERROR(I354/O354,0)</f>
        <v/>
      </c>
      <c r="U354" s="102">
        <f>IF(P354&lt;=K354,"Reorder Required","Stock Sufficient")</f>
        <v/>
      </c>
      <c r="V354" s="102">
        <f>IF(AND(Q354=M354,(U354="Reorder Required")=(N354="Reorder Required")),"OK","Mismatch")</f>
        <v/>
      </c>
      <c r="W354" s="99" t="n"/>
    </row>
    <row r="355">
      <c r="A355" s="99" t="inlineStr">
        <is>
          <t>INV00354</t>
        </is>
      </c>
      <c r="B355" s="99" t="inlineStr">
        <is>
          <t>OUT008</t>
        </is>
      </c>
      <c r="C355" s="99">
        <f>INDEX(Lookup!$B$2:$B$11,MATCH(B355,Lookup!$A$2:$A$11,0))</f>
        <v/>
      </c>
      <c r="D355" s="99" t="inlineStr">
        <is>
          <t>BP004</t>
        </is>
      </c>
      <c r="E355" s="99">
        <f>INDEX(Lookup!$E$2:$E$51,MATCH(D355,Lookup!$D$2:$D$51,0))</f>
        <v/>
      </c>
      <c r="F355" s="99">
        <f>INDEX(Lookup!$F$2:$F$51,MATCH(D355,Lookup!$D$2:$D$51,0))</f>
        <v/>
      </c>
      <c r="G355" s="100" t="n">
        <v>102</v>
      </c>
      <c r="H355" s="100" t="n">
        <v>40</v>
      </c>
      <c r="I355" s="100" t="n">
        <v>61</v>
      </c>
      <c r="J355" s="100" t="n">
        <v>1</v>
      </c>
      <c r="K355" s="100" t="n">
        <v>20</v>
      </c>
      <c r="L355" s="100" t="n">
        <v>1</v>
      </c>
      <c r="M355" s="100" t="n">
        <v>80</v>
      </c>
      <c r="N355" s="99" t="inlineStr">
        <is>
          <t>Healthy</t>
        </is>
      </c>
      <c r="O355" s="100">
        <f>G355+H355</f>
        <v/>
      </c>
      <c r="P355" s="100">
        <f>G355+H355-I355-J355</f>
        <v/>
      </c>
      <c r="Q355" s="100">
        <f>MAX(0,P355)</f>
        <v/>
      </c>
      <c r="R355" s="100">
        <f>MAX(0,-P355)</f>
        <v/>
      </c>
      <c r="S355" s="101">
        <f>IFERROR(J355/O355,0)</f>
        <v/>
      </c>
      <c r="T355" s="101">
        <f>IFERROR(I355/O355,0)</f>
        <v/>
      </c>
      <c r="U355" s="102">
        <f>IF(P355&lt;=K355,"Reorder Required","Stock Sufficient")</f>
        <v/>
      </c>
      <c r="V355" s="102">
        <f>IF(AND(Q355=M355,(U355="Reorder Required")=(N355="Reorder Required")),"OK","Mismatch")</f>
        <v/>
      </c>
      <c r="W355" s="99" t="n"/>
    </row>
    <row r="356">
      <c r="A356" s="99" t="inlineStr">
        <is>
          <t>INV00355</t>
        </is>
      </c>
      <c r="B356" s="99" t="inlineStr">
        <is>
          <t>OUT008</t>
        </is>
      </c>
      <c r="C356" s="99">
        <f>INDEX(Lookup!$B$2:$B$11,MATCH(B356,Lookup!$A$2:$A$11,0))</f>
        <v/>
      </c>
      <c r="D356" s="99" t="inlineStr">
        <is>
          <t>BP005</t>
        </is>
      </c>
      <c r="E356" s="99">
        <f>INDEX(Lookup!$E$2:$E$51,MATCH(D356,Lookup!$D$2:$D$51,0))</f>
        <v/>
      </c>
      <c r="F356" s="99">
        <f>INDEX(Lookup!$F$2:$F$51,MATCH(D356,Lookup!$D$2:$D$51,0))</f>
        <v/>
      </c>
      <c r="G356" s="100" t="n">
        <v>80</v>
      </c>
      <c r="H356" s="100" t="n">
        <v>71</v>
      </c>
      <c r="I356" s="100" t="n">
        <v>59</v>
      </c>
      <c r="J356" s="100" t="n">
        <v>3</v>
      </c>
      <c r="K356" s="100" t="n">
        <v>24</v>
      </c>
      <c r="L356" s="100" t="n">
        <v>4</v>
      </c>
      <c r="M356" s="100" t="n">
        <v>89</v>
      </c>
      <c r="N356" s="99" t="inlineStr">
        <is>
          <t>Healthy</t>
        </is>
      </c>
      <c r="O356" s="100">
        <f>G356+H356</f>
        <v/>
      </c>
      <c r="P356" s="100">
        <f>G356+H356-I356-J356</f>
        <v/>
      </c>
      <c r="Q356" s="100">
        <f>MAX(0,P356)</f>
        <v/>
      </c>
      <c r="R356" s="100">
        <f>MAX(0,-P356)</f>
        <v/>
      </c>
      <c r="S356" s="101">
        <f>IFERROR(J356/O356,0)</f>
        <v/>
      </c>
      <c r="T356" s="101">
        <f>IFERROR(I356/O356,0)</f>
        <v/>
      </c>
      <c r="U356" s="102">
        <f>IF(P356&lt;=K356,"Reorder Required","Stock Sufficient")</f>
        <v/>
      </c>
      <c r="V356" s="102">
        <f>IF(AND(Q356=M356,(U356="Reorder Required")=(N356="Reorder Required")),"OK","Mismatch")</f>
        <v/>
      </c>
      <c r="W356" s="99" t="n"/>
    </row>
    <row r="357">
      <c r="A357" s="99" t="inlineStr">
        <is>
          <t>INV00356</t>
        </is>
      </c>
      <c r="B357" s="99" t="inlineStr">
        <is>
          <t>OUT008</t>
        </is>
      </c>
      <c r="C357" s="99">
        <f>INDEX(Lookup!$B$2:$B$11,MATCH(B357,Lookup!$A$2:$A$11,0))</f>
        <v/>
      </c>
      <c r="D357" s="99" t="inlineStr">
        <is>
          <t>BP006</t>
        </is>
      </c>
      <c r="E357" s="99">
        <f>INDEX(Lookup!$E$2:$E$51,MATCH(D357,Lookup!$D$2:$D$51,0))</f>
        <v/>
      </c>
      <c r="F357" s="99">
        <f>INDEX(Lookup!$F$2:$F$51,MATCH(D357,Lookup!$D$2:$D$51,0))</f>
        <v/>
      </c>
      <c r="G357" s="100" t="n">
        <v>118</v>
      </c>
      <c r="H357" s="100" t="n">
        <v>83</v>
      </c>
      <c r="I357" s="100" t="n">
        <v>124</v>
      </c>
      <c r="J357" s="100" t="n">
        <v>1</v>
      </c>
      <c r="K357" s="100" t="n">
        <v>29</v>
      </c>
      <c r="L357" s="100" t="n">
        <v>2</v>
      </c>
      <c r="M357" s="100" t="n">
        <v>76</v>
      </c>
      <c r="N357" s="99" t="inlineStr">
        <is>
          <t>Healthy</t>
        </is>
      </c>
      <c r="O357" s="100">
        <f>G357+H357</f>
        <v/>
      </c>
      <c r="P357" s="100">
        <f>G357+H357-I357-J357</f>
        <v/>
      </c>
      <c r="Q357" s="100">
        <f>MAX(0,P357)</f>
        <v/>
      </c>
      <c r="R357" s="100">
        <f>MAX(0,-P357)</f>
        <v/>
      </c>
      <c r="S357" s="101">
        <f>IFERROR(J357/O357,0)</f>
        <v/>
      </c>
      <c r="T357" s="101">
        <f>IFERROR(I357/O357,0)</f>
        <v/>
      </c>
      <c r="U357" s="102">
        <f>IF(P357&lt;=K357,"Reorder Required","Stock Sufficient")</f>
        <v/>
      </c>
      <c r="V357" s="102">
        <f>IF(AND(Q357=M357,(U357="Reorder Required")=(N357="Reorder Required")),"OK","Mismatch")</f>
        <v/>
      </c>
      <c r="W357" s="99" t="n"/>
    </row>
    <row r="358">
      <c r="A358" s="99" t="inlineStr">
        <is>
          <t>INV00357</t>
        </is>
      </c>
      <c r="B358" s="99" t="inlineStr">
        <is>
          <t>OUT008</t>
        </is>
      </c>
      <c r="C358" s="99">
        <f>INDEX(Lookup!$B$2:$B$11,MATCH(B358,Lookup!$A$2:$A$11,0))</f>
        <v/>
      </c>
      <c r="D358" s="99" t="inlineStr">
        <is>
          <t>BP007</t>
        </is>
      </c>
      <c r="E358" s="99">
        <f>INDEX(Lookup!$E$2:$E$51,MATCH(D358,Lookup!$D$2:$D$51,0))</f>
        <v/>
      </c>
      <c r="F358" s="99">
        <f>INDEX(Lookup!$F$2:$F$51,MATCH(D358,Lookup!$D$2:$D$51,0))</f>
        <v/>
      </c>
      <c r="G358" s="100" t="n">
        <v>129</v>
      </c>
      <c r="H358" s="100" t="n">
        <v>63</v>
      </c>
      <c r="I358" s="100" t="n">
        <v>119</v>
      </c>
      <c r="J358" s="100" t="n">
        <v>0</v>
      </c>
      <c r="K358" s="100" t="n">
        <v>20</v>
      </c>
      <c r="L358" s="100" t="n">
        <v>1</v>
      </c>
      <c r="M358" s="100" t="n">
        <v>73</v>
      </c>
      <c r="N358" s="99" t="inlineStr">
        <is>
          <t>Healthy</t>
        </is>
      </c>
      <c r="O358" s="100">
        <f>G358+H358</f>
        <v/>
      </c>
      <c r="P358" s="100">
        <f>G358+H358-I358-J358</f>
        <v/>
      </c>
      <c r="Q358" s="100">
        <f>MAX(0,P358)</f>
        <v/>
      </c>
      <c r="R358" s="100">
        <f>MAX(0,-P358)</f>
        <v/>
      </c>
      <c r="S358" s="101">
        <f>IFERROR(J358/O358,0)</f>
        <v/>
      </c>
      <c r="T358" s="101">
        <f>IFERROR(I358/O358,0)</f>
        <v/>
      </c>
      <c r="U358" s="102">
        <f>IF(P358&lt;=K358,"Reorder Required","Stock Sufficient")</f>
        <v/>
      </c>
      <c r="V358" s="102">
        <f>IF(AND(Q358=M358,(U358="Reorder Required")=(N358="Reorder Required")),"OK","Mismatch")</f>
        <v/>
      </c>
      <c r="W358" s="99" t="n"/>
    </row>
    <row r="359">
      <c r="A359" s="99" t="inlineStr">
        <is>
          <t>INV00358</t>
        </is>
      </c>
      <c r="B359" s="99" t="inlineStr">
        <is>
          <t>OUT008</t>
        </is>
      </c>
      <c r="C359" s="99">
        <f>INDEX(Lookup!$B$2:$B$11,MATCH(B359,Lookup!$A$2:$A$11,0))</f>
        <v/>
      </c>
      <c r="D359" s="99" t="inlineStr">
        <is>
          <t>BP008</t>
        </is>
      </c>
      <c r="E359" s="99">
        <f>INDEX(Lookup!$E$2:$E$51,MATCH(D359,Lookup!$D$2:$D$51,0))</f>
        <v/>
      </c>
      <c r="F359" s="99">
        <f>INDEX(Lookup!$F$2:$F$51,MATCH(D359,Lookup!$D$2:$D$51,0))</f>
        <v/>
      </c>
      <c r="G359" s="100" t="n">
        <v>136</v>
      </c>
      <c r="H359" s="100" t="n">
        <v>72</v>
      </c>
      <c r="I359" s="100" t="n">
        <v>68</v>
      </c>
      <c r="J359" s="100" t="n">
        <v>2</v>
      </c>
      <c r="K359" s="100" t="n">
        <v>40</v>
      </c>
      <c r="L359" s="100" t="n">
        <v>2</v>
      </c>
      <c r="M359" s="100" t="n">
        <v>138</v>
      </c>
      <c r="N359" s="99" t="inlineStr">
        <is>
          <t>Healthy</t>
        </is>
      </c>
      <c r="O359" s="100">
        <f>G359+H359</f>
        <v/>
      </c>
      <c r="P359" s="100">
        <f>G359+H359-I359-J359</f>
        <v/>
      </c>
      <c r="Q359" s="100">
        <f>MAX(0,P359)</f>
        <v/>
      </c>
      <c r="R359" s="100">
        <f>MAX(0,-P359)</f>
        <v/>
      </c>
      <c r="S359" s="101">
        <f>IFERROR(J359/O359,0)</f>
        <v/>
      </c>
      <c r="T359" s="101">
        <f>IFERROR(I359/O359,0)</f>
        <v/>
      </c>
      <c r="U359" s="102">
        <f>IF(P359&lt;=K359,"Reorder Required","Stock Sufficient")</f>
        <v/>
      </c>
      <c r="V359" s="102">
        <f>IF(AND(Q359=M359,(U359="Reorder Required")=(N359="Reorder Required")),"OK","Mismatch")</f>
        <v/>
      </c>
      <c r="W359" s="99" t="n"/>
    </row>
    <row r="360">
      <c r="A360" s="99" t="inlineStr">
        <is>
          <t>INV00359</t>
        </is>
      </c>
      <c r="B360" s="99" t="inlineStr">
        <is>
          <t>OUT008</t>
        </is>
      </c>
      <c r="C360" s="99">
        <f>INDEX(Lookup!$B$2:$B$11,MATCH(B360,Lookup!$A$2:$A$11,0))</f>
        <v/>
      </c>
      <c r="D360" s="99" t="inlineStr">
        <is>
          <t>BP009</t>
        </is>
      </c>
      <c r="E360" s="99">
        <f>INDEX(Lookup!$E$2:$E$51,MATCH(D360,Lookup!$D$2:$D$51,0))</f>
        <v/>
      </c>
      <c r="F360" s="99">
        <f>INDEX(Lookup!$F$2:$F$51,MATCH(D360,Lookup!$D$2:$D$51,0))</f>
        <v/>
      </c>
      <c r="G360" s="100" t="n">
        <v>95</v>
      </c>
      <c r="H360" s="100" t="n">
        <v>93</v>
      </c>
      <c r="I360" s="100" t="n">
        <v>70</v>
      </c>
      <c r="J360" s="100" t="n">
        <v>2</v>
      </c>
      <c r="K360" s="100" t="n">
        <v>38</v>
      </c>
      <c r="L360" s="100" t="n">
        <v>1</v>
      </c>
      <c r="M360" s="100" t="n">
        <v>116</v>
      </c>
      <c r="N360" s="99" t="inlineStr">
        <is>
          <t>Healthy</t>
        </is>
      </c>
      <c r="O360" s="100">
        <f>G360+H360</f>
        <v/>
      </c>
      <c r="P360" s="100">
        <f>G360+H360-I360-J360</f>
        <v/>
      </c>
      <c r="Q360" s="100">
        <f>MAX(0,P360)</f>
        <v/>
      </c>
      <c r="R360" s="100">
        <f>MAX(0,-P360)</f>
        <v/>
      </c>
      <c r="S360" s="101">
        <f>IFERROR(J360/O360,0)</f>
        <v/>
      </c>
      <c r="T360" s="101">
        <f>IFERROR(I360/O360,0)</f>
        <v/>
      </c>
      <c r="U360" s="102">
        <f>IF(P360&lt;=K360,"Reorder Required","Stock Sufficient")</f>
        <v/>
      </c>
      <c r="V360" s="102">
        <f>IF(AND(Q360=M360,(U360="Reorder Required")=(N360="Reorder Required")),"OK","Mismatch")</f>
        <v/>
      </c>
      <c r="W360" s="99" t="n"/>
    </row>
    <row r="361">
      <c r="A361" s="99" t="inlineStr">
        <is>
          <t>INV00360</t>
        </is>
      </c>
      <c r="B361" s="99" t="inlineStr">
        <is>
          <t>OUT008</t>
        </is>
      </c>
      <c r="C361" s="99">
        <f>INDEX(Lookup!$B$2:$B$11,MATCH(B361,Lookup!$A$2:$A$11,0))</f>
        <v/>
      </c>
      <c r="D361" s="99" t="inlineStr">
        <is>
          <t>BP010</t>
        </is>
      </c>
      <c r="E361" s="99">
        <f>INDEX(Lookup!$E$2:$E$51,MATCH(D361,Lookup!$D$2:$D$51,0))</f>
        <v/>
      </c>
      <c r="F361" s="99">
        <f>INDEX(Lookup!$F$2:$F$51,MATCH(D361,Lookup!$D$2:$D$51,0))</f>
        <v/>
      </c>
      <c r="G361" s="100" t="n">
        <v>93</v>
      </c>
      <c r="H361" s="100" t="n">
        <v>94</v>
      </c>
      <c r="I361" s="100" t="n">
        <v>57</v>
      </c>
      <c r="J361" s="100" t="n">
        <v>3</v>
      </c>
      <c r="K361" s="100" t="n">
        <v>23</v>
      </c>
      <c r="L361" s="100" t="n">
        <v>4</v>
      </c>
      <c r="M361" s="100" t="n">
        <v>127</v>
      </c>
      <c r="N361" s="99" t="inlineStr">
        <is>
          <t>Healthy</t>
        </is>
      </c>
      <c r="O361" s="100">
        <f>G361+H361</f>
        <v/>
      </c>
      <c r="P361" s="100">
        <f>G361+H361-I361-J361</f>
        <v/>
      </c>
      <c r="Q361" s="100">
        <f>MAX(0,P361)</f>
        <v/>
      </c>
      <c r="R361" s="100">
        <f>MAX(0,-P361)</f>
        <v/>
      </c>
      <c r="S361" s="101">
        <f>IFERROR(J361/O361,0)</f>
        <v/>
      </c>
      <c r="T361" s="101">
        <f>IFERROR(I361/O361,0)</f>
        <v/>
      </c>
      <c r="U361" s="102">
        <f>IF(P361&lt;=K361,"Reorder Required","Stock Sufficient")</f>
        <v/>
      </c>
      <c r="V361" s="102">
        <f>IF(AND(Q361=M361,(U361="Reorder Required")=(N361="Reorder Required")),"OK","Mismatch")</f>
        <v/>
      </c>
      <c r="W361" s="99" t="n"/>
    </row>
    <row r="362">
      <c r="A362" s="99" t="inlineStr">
        <is>
          <t>INV00361</t>
        </is>
      </c>
      <c r="B362" s="99" t="inlineStr">
        <is>
          <t>OUT008</t>
        </is>
      </c>
      <c r="C362" s="99">
        <f>INDEX(Lookup!$B$2:$B$11,MATCH(B362,Lookup!$A$2:$A$11,0))</f>
        <v/>
      </c>
      <c r="D362" s="99" t="inlineStr">
        <is>
          <t>BP011</t>
        </is>
      </c>
      <c r="E362" s="99">
        <f>INDEX(Lookup!$E$2:$E$51,MATCH(D362,Lookup!$D$2:$D$51,0))</f>
        <v/>
      </c>
      <c r="F362" s="99">
        <f>INDEX(Lookup!$F$2:$F$51,MATCH(D362,Lookup!$D$2:$D$51,0))</f>
        <v/>
      </c>
      <c r="G362" s="100" t="n">
        <v>60</v>
      </c>
      <c r="H362" s="100" t="n">
        <v>28</v>
      </c>
      <c r="I362" s="100" t="n">
        <v>73</v>
      </c>
      <c r="J362" s="100" t="n">
        <v>0</v>
      </c>
      <c r="K362" s="100" t="n">
        <v>20</v>
      </c>
      <c r="L362" s="100" t="n">
        <v>4</v>
      </c>
      <c r="M362" s="100" t="n">
        <v>15</v>
      </c>
      <c r="N362" s="99" t="inlineStr">
        <is>
          <t>Reorder Required</t>
        </is>
      </c>
      <c r="O362" s="100">
        <f>G362+H362</f>
        <v/>
      </c>
      <c r="P362" s="100">
        <f>G362+H362-I362-J362</f>
        <v/>
      </c>
      <c r="Q362" s="100">
        <f>MAX(0,P362)</f>
        <v/>
      </c>
      <c r="R362" s="100">
        <f>MAX(0,-P362)</f>
        <v/>
      </c>
      <c r="S362" s="101">
        <f>IFERROR(J362/O362,0)</f>
        <v/>
      </c>
      <c r="T362" s="101">
        <f>IFERROR(I362/O362,0)</f>
        <v/>
      </c>
      <c r="U362" s="102">
        <f>IF(P362&lt;=K362,"Reorder Required","Stock Sufficient")</f>
        <v/>
      </c>
      <c r="V362" s="102">
        <f>IF(AND(Q362=M362,(U362="Reorder Required")=(N362="Reorder Required")),"OK","Mismatch")</f>
        <v/>
      </c>
      <c r="W362" s="99" t="inlineStr">
        <is>
          <t>Restock immediately</t>
        </is>
      </c>
    </row>
    <row r="363">
      <c r="A363" s="99" t="inlineStr">
        <is>
          <t>INV00362</t>
        </is>
      </c>
      <c r="B363" s="99" t="inlineStr">
        <is>
          <t>OUT008</t>
        </is>
      </c>
      <c r="C363" s="99">
        <f>INDEX(Lookup!$B$2:$B$11,MATCH(B363,Lookup!$A$2:$A$11,0))</f>
        <v/>
      </c>
      <c r="D363" s="99" t="inlineStr">
        <is>
          <t>BP012</t>
        </is>
      </c>
      <c r="E363" s="99">
        <f>INDEX(Lookup!$E$2:$E$51,MATCH(D363,Lookup!$D$2:$D$51,0))</f>
        <v/>
      </c>
      <c r="F363" s="99">
        <f>INDEX(Lookup!$F$2:$F$51,MATCH(D363,Lookup!$D$2:$D$51,0))</f>
        <v/>
      </c>
      <c r="G363" s="100" t="n">
        <v>130</v>
      </c>
      <c r="H363" s="100" t="n">
        <v>29</v>
      </c>
      <c r="I363" s="100" t="n">
        <v>37</v>
      </c>
      <c r="J363" s="100" t="n">
        <v>2</v>
      </c>
      <c r="K363" s="100" t="n">
        <v>33</v>
      </c>
      <c r="L363" s="100" t="n">
        <v>4</v>
      </c>
      <c r="M363" s="100" t="n">
        <v>120</v>
      </c>
      <c r="N363" s="99" t="inlineStr">
        <is>
          <t>Healthy</t>
        </is>
      </c>
      <c r="O363" s="100">
        <f>G363+H363</f>
        <v/>
      </c>
      <c r="P363" s="100">
        <f>G363+H363-I363-J363</f>
        <v/>
      </c>
      <c r="Q363" s="100">
        <f>MAX(0,P363)</f>
        <v/>
      </c>
      <c r="R363" s="100">
        <f>MAX(0,-P363)</f>
        <v/>
      </c>
      <c r="S363" s="101">
        <f>IFERROR(J363/O363,0)</f>
        <v/>
      </c>
      <c r="T363" s="101">
        <f>IFERROR(I363/O363,0)</f>
        <v/>
      </c>
      <c r="U363" s="102">
        <f>IF(P363&lt;=K363,"Reorder Required","Stock Sufficient")</f>
        <v/>
      </c>
      <c r="V363" s="102">
        <f>IF(AND(Q363=M363,(U363="Reorder Required")=(N363="Reorder Required")),"OK","Mismatch")</f>
        <v/>
      </c>
      <c r="W363" s="99" t="n"/>
    </row>
    <row r="364">
      <c r="A364" s="99" t="inlineStr">
        <is>
          <t>INV00363</t>
        </is>
      </c>
      <c r="B364" s="99" t="inlineStr">
        <is>
          <t>OUT008</t>
        </is>
      </c>
      <c r="C364" s="99">
        <f>INDEX(Lookup!$B$2:$B$11,MATCH(B364,Lookup!$A$2:$A$11,0))</f>
        <v/>
      </c>
      <c r="D364" s="99" t="inlineStr">
        <is>
          <t>BP013</t>
        </is>
      </c>
      <c r="E364" s="99">
        <f>INDEX(Lookup!$E$2:$E$51,MATCH(D364,Lookup!$D$2:$D$51,0))</f>
        <v/>
      </c>
      <c r="F364" s="99">
        <f>INDEX(Lookup!$F$2:$F$51,MATCH(D364,Lookup!$D$2:$D$51,0))</f>
        <v/>
      </c>
      <c r="G364" s="100" t="n">
        <v>57</v>
      </c>
      <c r="H364" s="100" t="n">
        <v>79</v>
      </c>
      <c r="I364" s="100" t="n">
        <v>95</v>
      </c>
      <c r="J364" s="100" t="n">
        <v>3</v>
      </c>
      <c r="K364" s="100" t="n">
        <v>15</v>
      </c>
      <c r="L364" s="100" t="n">
        <v>4</v>
      </c>
      <c r="M364" s="100" t="n">
        <v>38</v>
      </c>
      <c r="N364" s="99" t="inlineStr">
        <is>
          <t>Healthy</t>
        </is>
      </c>
      <c r="O364" s="100">
        <f>G364+H364</f>
        <v/>
      </c>
      <c r="P364" s="100">
        <f>G364+H364-I364-J364</f>
        <v/>
      </c>
      <c r="Q364" s="100">
        <f>MAX(0,P364)</f>
        <v/>
      </c>
      <c r="R364" s="100">
        <f>MAX(0,-P364)</f>
        <v/>
      </c>
      <c r="S364" s="101">
        <f>IFERROR(J364/O364,0)</f>
        <v/>
      </c>
      <c r="T364" s="101">
        <f>IFERROR(I364/O364,0)</f>
        <v/>
      </c>
      <c r="U364" s="102">
        <f>IF(P364&lt;=K364,"Reorder Required","Stock Sufficient")</f>
        <v/>
      </c>
      <c r="V364" s="102">
        <f>IF(AND(Q364=M364,(U364="Reorder Required")=(N364="Reorder Required")),"OK","Mismatch")</f>
        <v/>
      </c>
      <c r="W364" s="99" t="n"/>
    </row>
    <row r="365">
      <c r="A365" s="99" t="inlineStr">
        <is>
          <t>INV00364</t>
        </is>
      </c>
      <c r="B365" s="99" t="inlineStr">
        <is>
          <t>OUT008</t>
        </is>
      </c>
      <c r="C365" s="99">
        <f>INDEX(Lookup!$B$2:$B$11,MATCH(B365,Lookup!$A$2:$A$11,0))</f>
        <v/>
      </c>
      <c r="D365" s="99" t="inlineStr">
        <is>
          <t>BP014</t>
        </is>
      </c>
      <c r="E365" s="99">
        <f>INDEX(Lookup!$E$2:$E$51,MATCH(D365,Lookup!$D$2:$D$51,0))</f>
        <v/>
      </c>
      <c r="F365" s="99">
        <f>INDEX(Lookup!$F$2:$F$51,MATCH(D365,Lookup!$D$2:$D$51,0))</f>
        <v/>
      </c>
      <c r="G365" s="100" t="n">
        <v>93</v>
      </c>
      <c r="H365" s="100" t="n">
        <v>100</v>
      </c>
      <c r="I365" s="100" t="n">
        <v>69</v>
      </c>
      <c r="J365" s="100" t="n">
        <v>3</v>
      </c>
      <c r="K365" s="100" t="n">
        <v>30</v>
      </c>
      <c r="L365" s="100" t="n">
        <v>2</v>
      </c>
      <c r="M365" s="100" t="n">
        <v>121</v>
      </c>
      <c r="N365" s="99" t="inlineStr">
        <is>
          <t>Healthy</t>
        </is>
      </c>
      <c r="O365" s="100">
        <f>G365+H365</f>
        <v/>
      </c>
      <c r="P365" s="100">
        <f>G365+H365-I365-J365</f>
        <v/>
      </c>
      <c r="Q365" s="100">
        <f>MAX(0,P365)</f>
        <v/>
      </c>
      <c r="R365" s="100">
        <f>MAX(0,-P365)</f>
        <v/>
      </c>
      <c r="S365" s="101">
        <f>IFERROR(J365/O365,0)</f>
        <v/>
      </c>
      <c r="T365" s="101">
        <f>IFERROR(I365/O365,0)</f>
        <v/>
      </c>
      <c r="U365" s="102">
        <f>IF(P365&lt;=K365,"Reorder Required","Stock Sufficient")</f>
        <v/>
      </c>
      <c r="V365" s="102">
        <f>IF(AND(Q365=M365,(U365="Reorder Required")=(N365="Reorder Required")),"OK","Mismatch")</f>
        <v/>
      </c>
      <c r="W365" s="99" t="n"/>
    </row>
    <row r="366">
      <c r="A366" s="99" t="inlineStr">
        <is>
          <t>INV00365</t>
        </is>
      </c>
      <c r="B366" s="99" t="inlineStr">
        <is>
          <t>OUT008</t>
        </is>
      </c>
      <c r="C366" s="99">
        <f>INDEX(Lookup!$B$2:$B$11,MATCH(B366,Lookup!$A$2:$A$11,0))</f>
        <v/>
      </c>
      <c r="D366" s="99" t="inlineStr">
        <is>
          <t>BP015</t>
        </is>
      </c>
      <c r="E366" s="99">
        <f>INDEX(Lookup!$E$2:$E$51,MATCH(D366,Lookup!$D$2:$D$51,0))</f>
        <v/>
      </c>
      <c r="F366" s="99">
        <f>INDEX(Lookup!$F$2:$F$51,MATCH(D366,Lookup!$D$2:$D$51,0))</f>
        <v/>
      </c>
      <c r="G366" s="100" t="n">
        <v>72</v>
      </c>
      <c r="H366" s="100" t="n">
        <v>26</v>
      </c>
      <c r="I366" s="100" t="n">
        <v>47</v>
      </c>
      <c r="J366" s="100" t="n">
        <v>0</v>
      </c>
      <c r="K366" s="100" t="n">
        <v>34</v>
      </c>
      <c r="L366" s="100" t="n">
        <v>2</v>
      </c>
      <c r="M366" s="100" t="n">
        <v>51</v>
      </c>
      <c r="N366" s="99" t="inlineStr">
        <is>
          <t>Healthy</t>
        </is>
      </c>
      <c r="O366" s="100">
        <f>G366+H366</f>
        <v/>
      </c>
      <c r="P366" s="100">
        <f>G366+H366-I366-J366</f>
        <v/>
      </c>
      <c r="Q366" s="100">
        <f>MAX(0,P366)</f>
        <v/>
      </c>
      <c r="R366" s="100">
        <f>MAX(0,-P366)</f>
        <v/>
      </c>
      <c r="S366" s="101">
        <f>IFERROR(J366/O366,0)</f>
        <v/>
      </c>
      <c r="T366" s="101">
        <f>IFERROR(I366/O366,0)</f>
        <v/>
      </c>
      <c r="U366" s="102">
        <f>IF(P366&lt;=K366,"Reorder Required","Stock Sufficient")</f>
        <v/>
      </c>
      <c r="V366" s="102">
        <f>IF(AND(Q366=M366,(U366="Reorder Required")=(N366="Reorder Required")),"OK","Mismatch")</f>
        <v/>
      </c>
      <c r="W366" s="99" t="n"/>
    </row>
    <row r="367">
      <c r="A367" s="99" t="inlineStr">
        <is>
          <t>INV00366</t>
        </is>
      </c>
      <c r="B367" s="99" t="inlineStr">
        <is>
          <t>OUT008</t>
        </is>
      </c>
      <c r="C367" s="99">
        <f>INDEX(Lookup!$B$2:$B$11,MATCH(B367,Lookup!$A$2:$A$11,0))</f>
        <v/>
      </c>
      <c r="D367" s="99" t="inlineStr">
        <is>
          <t>BP016</t>
        </is>
      </c>
      <c r="E367" s="99">
        <f>INDEX(Lookup!$E$2:$E$51,MATCH(D367,Lookup!$D$2:$D$51,0))</f>
        <v/>
      </c>
      <c r="F367" s="99">
        <f>INDEX(Lookup!$F$2:$F$51,MATCH(D367,Lookup!$D$2:$D$51,0))</f>
        <v/>
      </c>
      <c r="G367" s="100" t="n">
        <v>47</v>
      </c>
      <c r="H367" s="100" t="n">
        <v>41</v>
      </c>
      <c r="I367" s="100" t="n">
        <v>52</v>
      </c>
      <c r="J367" s="100" t="n">
        <v>0</v>
      </c>
      <c r="K367" s="100" t="n">
        <v>33</v>
      </c>
      <c r="L367" s="100" t="n">
        <v>1</v>
      </c>
      <c r="M367" s="100" t="n">
        <v>36</v>
      </c>
      <c r="N367" s="99" t="inlineStr">
        <is>
          <t>Healthy</t>
        </is>
      </c>
      <c r="O367" s="100">
        <f>G367+H367</f>
        <v/>
      </c>
      <c r="P367" s="100">
        <f>G367+H367-I367-J367</f>
        <v/>
      </c>
      <c r="Q367" s="100">
        <f>MAX(0,P367)</f>
        <v/>
      </c>
      <c r="R367" s="100">
        <f>MAX(0,-P367)</f>
        <v/>
      </c>
      <c r="S367" s="101">
        <f>IFERROR(J367/O367,0)</f>
        <v/>
      </c>
      <c r="T367" s="101">
        <f>IFERROR(I367/O367,0)</f>
        <v/>
      </c>
      <c r="U367" s="102">
        <f>IF(P367&lt;=K367,"Reorder Required","Stock Sufficient")</f>
        <v/>
      </c>
      <c r="V367" s="102">
        <f>IF(AND(Q367=M367,(U367="Reorder Required")=(N367="Reorder Required")),"OK","Mismatch")</f>
        <v/>
      </c>
      <c r="W367" s="99" t="n"/>
    </row>
    <row r="368">
      <c r="A368" s="99" t="inlineStr">
        <is>
          <t>INV00367</t>
        </is>
      </c>
      <c r="B368" s="99" t="inlineStr">
        <is>
          <t>OUT008</t>
        </is>
      </c>
      <c r="C368" s="99">
        <f>INDEX(Lookup!$B$2:$B$11,MATCH(B368,Lookup!$A$2:$A$11,0))</f>
        <v/>
      </c>
      <c r="D368" s="99" t="inlineStr">
        <is>
          <t>BP017</t>
        </is>
      </c>
      <c r="E368" s="99">
        <f>INDEX(Lookup!$E$2:$E$51,MATCH(D368,Lookup!$D$2:$D$51,0))</f>
        <v/>
      </c>
      <c r="F368" s="99">
        <f>INDEX(Lookup!$F$2:$F$51,MATCH(D368,Lookup!$D$2:$D$51,0))</f>
        <v/>
      </c>
      <c r="G368" s="100" t="n">
        <v>100</v>
      </c>
      <c r="H368" s="100" t="n">
        <v>70</v>
      </c>
      <c r="I368" s="100" t="n">
        <v>44</v>
      </c>
      <c r="J368" s="100" t="n">
        <v>2</v>
      </c>
      <c r="K368" s="100" t="n">
        <v>34</v>
      </c>
      <c r="L368" s="100" t="n">
        <v>1</v>
      </c>
      <c r="M368" s="100" t="n">
        <v>124</v>
      </c>
      <c r="N368" s="99" t="inlineStr">
        <is>
          <t>Healthy</t>
        </is>
      </c>
      <c r="O368" s="100">
        <f>G368+H368</f>
        <v/>
      </c>
      <c r="P368" s="100">
        <f>G368+H368-I368-J368</f>
        <v/>
      </c>
      <c r="Q368" s="100">
        <f>MAX(0,P368)</f>
        <v/>
      </c>
      <c r="R368" s="100">
        <f>MAX(0,-P368)</f>
        <v/>
      </c>
      <c r="S368" s="101">
        <f>IFERROR(J368/O368,0)</f>
        <v/>
      </c>
      <c r="T368" s="101">
        <f>IFERROR(I368/O368,0)</f>
        <v/>
      </c>
      <c r="U368" s="102">
        <f>IF(P368&lt;=K368,"Reorder Required","Stock Sufficient")</f>
        <v/>
      </c>
      <c r="V368" s="102">
        <f>IF(AND(Q368=M368,(U368="Reorder Required")=(N368="Reorder Required")),"OK","Mismatch")</f>
        <v/>
      </c>
      <c r="W368" s="99" t="n"/>
    </row>
    <row r="369">
      <c r="A369" s="99" t="inlineStr">
        <is>
          <t>INV00368</t>
        </is>
      </c>
      <c r="B369" s="99" t="inlineStr">
        <is>
          <t>OUT008</t>
        </is>
      </c>
      <c r="C369" s="99">
        <f>INDEX(Lookup!$B$2:$B$11,MATCH(B369,Lookup!$A$2:$A$11,0))</f>
        <v/>
      </c>
      <c r="D369" s="99" t="inlineStr">
        <is>
          <t>BP018</t>
        </is>
      </c>
      <c r="E369" s="99">
        <f>INDEX(Lookup!$E$2:$E$51,MATCH(D369,Lookup!$D$2:$D$51,0))</f>
        <v/>
      </c>
      <c r="F369" s="99">
        <f>INDEX(Lookup!$F$2:$F$51,MATCH(D369,Lookup!$D$2:$D$51,0))</f>
        <v/>
      </c>
      <c r="G369" s="100" t="n">
        <v>68</v>
      </c>
      <c r="H369" s="100" t="n">
        <v>67</v>
      </c>
      <c r="I369" s="100" t="n">
        <v>106</v>
      </c>
      <c r="J369" s="100" t="n">
        <v>1</v>
      </c>
      <c r="K369" s="100" t="n">
        <v>25</v>
      </c>
      <c r="L369" s="100" t="n">
        <v>5</v>
      </c>
      <c r="M369" s="100" t="n">
        <v>28</v>
      </c>
      <c r="N369" s="99" t="inlineStr">
        <is>
          <t>Healthy</t>
        </is>
      </c>
      <c r="O369" s="100">
        <f>G369+H369</f>
        <v/>
      </c>
      <c r="P369" s="100">
        <f>G369+H369-I369-J369</f>
        <v/>
      </c>
      <c r="Q369" s="100">
        <f>MAX(0,P369)</f>
        <v/>
      </c>
      <c r="R369" s="100">
        <f>MAX(0,-P369)</f>
        <v/>
      </c>
      <c r="S369" s="101">
        <f>IFERROR(J369/O369,0)</f>
        <v/>
      </c>
      <c r="T369" s="101">
        <f>IFERROR(I369/O369,0)</f>
        <v/>
      </c>
      <c r="U369" s="102">
        <f>IF(P369&lt;=K369,"Reorder Required","Stock Sufficient")</f>
        <v/>
      </c>
      <c r="V369" s="102">
        <f>IF(AND(Q369=M369,(U369="Reorder Required")=(N369="Reorder Required")),"OK","Mismatch")</f>
        <v/>
      </c>
      <c r="W369" s="99" t="n"/>
    </row>
    <row r="370">
      <c r="A370" s="99" t="inlineStr">
        <is>
          <t>INV00369</t>
        </is>
      </c>
      <c r="B370" s="99" t="inlineStr">
        <is>
          <t>OUT008</t>
        </is>
      </c>
      <c r="C370" s="99">
        <f>INDEX(Lookup!$B$2:$B$11,MATCH(B370,Lookup!$A$2:$A$11,0))</f>
        <v/>
      </c>
      <c r="D370" s="99" t="inlineStr">
        <is>
          <t>BP019</t>
        </is>
      </c>
      <c r="E370" s="99">
        <f>INDEX(Lookup!$E$2:$E$51,MATCH(D370,Lookup!$D$2:$D$51,0))</f>
        <v/>
      </c>
      <c r="F370" s="99">
        <f>INDEX(Lookup!$F$2:$F$51,MATCH(D370,Lookup!$D$2:$D$51,0))</f>
        <v/>
      </c>
      <c r="G370" s="100" t="n">
        <v>137</v>
      </c>
      <c r="H370" s="100" t="n">
        <v>63</v>
      </c>
      <c r="I370" s="100" t="n">
        <v>120</v>
      </c>
      <c r="J370" s="100" t="n">
        <v>2</v>
      </c>
      <c r="K370" s="100" t="n">
        <v>17</v>
      </c>
      <c r="L370" s="100" t="n">
        <v>3</v>
      </c>
      <c r="M370" s="100" t="n">
        <v>78</v>
      </c>
      <c r="N370" s="99" t="inlineStr">
        <is>
          <t>Healthy</t>
        </is>
      </c>
      <c r="O370" s="100">
        <f>G370+H370</f>
        <v/>
      </c>
      <c r="P370" s="100">
        <f>G370+H370-I370-J370</f>
        <v/>
      </c>
      <c r="Q370" s="100">
        <f>MAX(0,P370)</f>
        <v/>
      </c>
      <c r="R370" s="100">
        <f>MAX(0,-P370)</f>
        <v/>
      </c>
      <c r="S370" s="101">
        <f>IFERROR(J370/O370,0)</f>
        <v/>
      </c>
      <c r="T370" s="101">
        <f>IFERROR(I370/O370,0)</f>
        <v/>
      </c>
      <c r="U370" s="102">
        <f>IF(P370&lt;=K370,"Reorder Required","Stock Sufficient")</f>
        <v/>
      </c>
      <c r="V370" s="102">
        <f>IF(AND(Q370=M370,(U370="Reorder Required")=(N370="Reorder Required")),"OK","Mismatch")</f>
        <v/>
      </c>
      <c r="W370" s="99" t="n"/>
    </row>
    <row r="371">
      <c r="A371" s="99" t="inlineStr">
        <is>
          <t>INV00370</t>
        </is>
      </c>
      <c r="B371" s="99" t="inlineStr">
        <is>
          <t>OUT008</t>
        </is>
      </c>
      <c r="C371" s="99">
        <f>INDEX(Lookup!$B$2:$B$11,MATCH(B371,Lookup!$A$2:$A$11,0))</f>
        <v/>
      </c>
      <c r="D371" s="99" t="inlineStr">
        <is>
          <t>BP020</t>
        </is>
      </c>
      <c r="E371" s="99">
        <f>INDEX(Lookup!$E$2:$E$51,MATCH(D371,Lookup!$D$2:$D$51,0))</f>
        <v/>
      </c>
      <c r="F371" s="99">
        <f>INDEX(Lookup!$F$2:$F$51,MATCH(D371,Lookup!$D$2:$D$51,0))</f>
        <v/>
      </c>
      <c r="G371" s="100" t="n">
        <v>142</v>
      </c>
      <c r="H371" s="100" t="n">
        <v>21</v>
      </c>
      <c r="I371" s="100" t="n">
        <v>79</v>
      </c>
      <c r="J371" s="100" t="n">
        <v>1</v>
      </c>
      <c r="K371" s="100" t="n">
        <v>39</v>
      </c>
      <c r="L371" s="100" t="n">
        <v>1</v>
      </c>
      <c r="M371" s="100" t="n">
        <v>83</v>
      </c>
      <c r="N371" s="99" t="inlineStr">
        <is>
          <t>Healthy</t>
        </is>
      </c>
      <c r="O371" s="100">
        <f>G371+H371</f>
        <v/>
      </c>
      <c r="P371" s="100">
        <f>G371+H371-I371-J371</f>
        <v/>
      </c>
      <c r="Q371" s="100">
        <f>MAX(0,P371)</f>
        <v/>
      </c>
      <c r="R371" s="100">
        <f>MAX(0,-P371)</f>
        <v/>
      </c>
      <c r="S371" s="101">
        <f>IFERROR(J371/O371,0)</f>
        <v/>
      </c>
      <c r="T371" s="101">
        <f>IFERROR(I371/O371,0)</f>
        <v/>
      </c>
      <c r="U371" s="102">
        <f>IF(P371&lt;=K371,"Reorder Required","Stock Sufficient")</f>
        <v/>
      </c>
      <c r="V371" s="102">
        <f>IF(AND(Q371=M371,(U371="Reorder Required")=(N371="Reorder Required")),"OK","Mismatch")</f>
        <v/>
      </c>
      <c r="W371" s="99" t="n"/>
    </row>
    <row r="372">
      <c r="A372" s="99" t="inlineStr">
        <is>
          <t>INV00371</t>
        </is>
      </c>
      <c r="B372" s="99" t="inlineStr">
        <is>
          <t>OUT008</t>
        </is>
      </c>
      <c r="C372" s="99">
        <f>INDEX(Lookup!$B$2:$B$11,MATCH(B372,Lookup!$A$2:$A$11,0))</f>
        <v/>
      </c>
      <c r="D372" s="99" t="inlineStr">
        <is>
          <t>BP021</t>
        </is>
      </c>
      <c r="E372" s="99">
        <f>INDEX(Lookup!$E$2:$E$51,MATCH(D372,Lookup!$D$2:$D$51,0))</f>
        <v/>
      </c>
      <c r="F372" s="99">
        <f>INDEX(Lookup!$F$2:$F$51,MATCH(D372,Lookup!$D$2:$D$51,0))</f>
        <v/>
      </c>
      <c r="G372" s="100" t="n">
        <v>57</v>
      </c>
      <c r="H372" s="100" t="n">
        <v>56</v>
      </c>
      <c r="I372" s="100" t="n">
        <v>63</v>
      </c>
      <c r="J372" s="100" t="n">
        <v>0</v>
      </c>
      <c r="K372" s="100" t="n">
        <v>35</v>
      </c>
      <c r="L372" s="100" t="n">
        <v>2</v>
      </c>
      <c r="M372" s="100" t="n">
        <v>50</v>
      </c>
      <c r="N372" s="99" t="inlineStr">
        <is>
          <t>Healthy</t>
        </is>
      </c>
      <c r="O372" s="100">
        <f>G372+H372</f>
        <v/>
      </c>
      <c r="P372" s="100">
        <f>G372+H372-I372-J372</f>
        <v/>
      </c>
      <c r="Q372" s="100">
        <f>MAX(0,P372)</f>
        <v/>
      </c>
      <c r="R372" s="100">
        <f>MAX(0,-P372)</f>
        <v/>
      </c>
      <c r="S372" s="101">
        <f>IFERROR(J372/O372,0)</f>
        <v/>
      </c>
      <c r="T372" s="101">
        <f>IFERROR(I372/O372,0)</f>
        <v/>
      </c>
      <c r="U372" s="102">
        <f>IF(P372&lt;=K372,"Reorder Required","Stock Sufficient")</f>
        <v/>
      </c>
      <c r="V372" s="102">
        <f>IF(AND(Q372=M372,(U372="Reorder Required")=(N372="Reorder Required")),"OK","Mismatch")</f>
        <v/>
      </c>
      <c r="W372" s="99" t="n"/>
    </row>
    <row r="373">
      <c r="A373" s="99" t="inlineStr">
        <is>
          <t>INV00372</t>
        </is>
      </c>
      <c r="B373" s="99" t="inlineStr">
        <is>
          <t>OUT008</t>
        </is>
      </c>
      <c r="C373" s="99">
        <f>INDEX(Lookup!$B$2:$B$11,MATCH(B373,Lookup!$A$2:$A$11,0))</f>
        <v/>
      </c>
      <c r="D373" s="99" t="inlineStr">
        <is>
          <t>BP022</t>
        </is>
      </c>
      <c r="E373" s="99">
        <f>INDEX(Lookup!$E$2:$E$51,MATCH(D373,Lookup!$D$2:$D$51,0))</f>
        <v/>
      </c>
      <c r="F373" s="99">
        <f>INDEX(Lookup!$F$2:$F$51,MATCH(D373,Lookup!$D$2:$D$51,0))</f>
        <v/>
      </c>
      <c r="G373" s="100" t="n">
        <v>119</v>
      </c>
      <c r="H373" s="100" t="n">
        <v>97</v>
      </c>
      <c r="I373" s="100" t="n">
        <v>48</v>
      </c>
      <c r="J373" s="100" t="n">
        <v>1</v>
      </c>
      <c r="K373" s="100" t="n">
        <v>39</v>
      </c>
      <c r="L373" s="100" t="n">
        <v>5</v>
      </c>
      <c r="M373" s="100" t="n">
        <v>167</v>
      </c>
      <c r="N373" s="99" t="inlineStr">
        <is>
          <t>Healthy</t>
        </is>
      </c>
      <c r="O373" s="100">
        <f>G373+H373</f>
        <v/>
      </c>
      <c r="P373" s="100">
        <f>G373+H373-I373-J373</f>
        <v/>
      </c>
      <c r="Q373" s="100">
        <f>MAX(0,P373)</f>
        <v/>
      </c>
      <c r="R373" s="100">
        <f>MAX(0,-P373)</f>
        <v/>
      </c>
      <c r="S373" s="101">
        <f>IFERROR(J373/O373,0)</f>
        <v/>
      </c>
      <c r="T373" s="101">
        <f>IFERROR(I373/O373,0)</f>
        <v/>
      </c>
      <c r="U373" s="102">
        <f>IF(P373&lt;=K373,"Reorder Required","Stock Sufficient")</f>
        <v/>
      </c>
      <c r="V373" s="102">
        <f>IF(AND(Q373=M373,(U373="Reorder Required")=(N373="Reorder Required")),"OK","Mismatch")</f>
        <v/>
      </c>
      <c r="W373" s="99" t="n"/>
    </row>
    <row r="374">
      <c r="A374" s="99" t="inlineStr">
        <is>
          <t>INV00373</t>
        </is>
      </c>
      <c r="B374" s="99" t="inlineStr">
        <is>
          <t>OUT008</t>
        </is>
      </c>
      <c r="C374" s="99">
        <f>INDEX(Lookup!$B$2:$B$11,MATCH(B374,Lookup!$A$2:$A$11,0))</f>
        <v/>
      </c>
      <c r="D374" s="99" t="inlineStr">
        <is>
          <t>BP023</t>
        </is>
      </c>
      <c r="E374" s="99">
        <f>INDEX(Lookup!$E$2:$E$51,MATCH(D374,Lookup!$D$2:$D$51,0))</f>
        <v/>
      </c>
      <c r="F374" s="99">
        <f>INDEX(Lookup!$F$2:$F$51,MATCH(D374,Lookup!$D$2:$D$51,0))</f>
        <v/>
      </c>
      <c r="G374" s="100" t="n">
        <v>72</v>
      </c>
      <c r="H374" s="100" t="n">
        <v>36</v>
      </c>
      <c r="I374" s="100" t="n">
        <v>97</v>
      </c>
      <c r="J374" s="100" t="n">
        <v>0</v>
      </c>
      <c r="K374" s="100" t="n">
        <v>26</v>
      </c>
      <c r="L374" s="100" t="n">
        <v>2</v>
      </c>
      <c r="M374" s="100" t="n">
        <v>11</v>
      </c>
      <c r="N374" s="99" t="inlineStr">
        <is>
          <t>Reorder Required</t>
        </is>
      </c>
      <c r="O374" s="100">
        <f>G374+H374</f>
        <v/>
      </c>
      <c r="P374" s="100">
        <f>G374+H374-I374-J374</f>
        <v/>
      </c>
      <c r="Q374" s="100">
        <f>MAX(0,P374)</f>
        <v/>
      </c>
      <c r="R374" s="100">
        <f>MAX(0,-P374)</f>
        <v/>
      </c>
      <c r="S374" s="101">
        <f>IFERROR(J374/O374,0)</f>
        <v/>
      </c>
      <c r="T374" s="101">
        <f>IFERROR(I374/O374,0)</f>
        <v/>
      </c>
      <c r="U374" s="102">
        <f>IF(P374&lt;=K374,"Reorder Required","Stock Sufficient")</f>
        <v/>
      </c>
      <c r="V374" s="102">
        <f>IF(AND(Q374=M374,(U374="Reorder Required")=(N374="Reorder Required")),"OK","Mismatch")</f>
        <v/>
      </c>
      <c r="W374" s="99" t="inlineStr">
        <is>
          <t>Restock immediately</t>
        </is>
      </c>
    </row>
    <row r="375">
      <c r="A375" s="99" t="inlineStr">
        <is>
          <t>INV00374</t>
        </is>
      </c>
      <c r="B375" s="99" t="inlineStr">
        <is>
          <t>OUT008</t>
        </is>
      </c>
      <c r="C375" s="99">
        <f>INDEX(Lookup!$B$2:$B$11,MATCH(B375,Lookup!$A$2:$A$11,0))</f>
        <v/>
      </c>
      <c r="D375" s="99" t="inlineStr">
        <is>
          <t>BP024</t>
        </is>
      </c>
      <c r="E375" s="99">
        <f>INDEX(Lookup!$E$2:$E$51,MATCH(D375,Lookup!$D$2:$D$51,0))</f>
        <v/>
      </c>
      <c r="F375" s="99">
        <f>INDEX(Lookup!$F$2:$F$51,MATCH(D375,Lookup!$D$2:$D$51,0))</f>
        <v/>
      </c>
      <c r="G375" s="100" t="n">
        <v>112</v>
      </c>
      <c r="H375" s="100" t="n">
        <v>57</v>
      </c>
      <c r="I375" s="100" t="n">
        <v>126</v>
      </c>
      <c r="J375" s="100" t="n">
        <v>2</v>
      </c>
      <c r="K375" s="100" t="n">
        <v>38</v>
      </c>
      <c r="L375" s="100" t="n">
        <v>5</v>
      </c>
      <c r="M375" s="100" t="n">
        <v>41</v>
      </c>
      <c r="N375" s="99" t="inlineStr">
        <is>
          <t>Healthy</t>
        </is>
      </c>
      <c r="O375" s="100">
        <f>G375+H375</f>
        <v/>
      </c>
      <c r="P375" s="100">
        <f>G375+H375-I375-J375</f>
        <v/>
      </c>
      <c r="Q375" s="100">
        <f>MAX(0,P375)</f>
        <v/>
      </c>
      <c r="R375" s="100">
        <f>MAX(0,-P375)</f>
        <v/>
      </c>
      <c r="S375" s="101">
        <f>IFERROR(J375/O375,0)</f>
        <v/>
      </c>
      <c r="T375" s="101">
        <f>IFERROR(I375/O375,0)</f>
        <v/>
      </c>
      <c r="U375" s="102">
        <f>IF(P375&lt;=K375,"Reorder Required","Stock Sufficient")</f>
        <v/>
      </c>
      <c r="V375" s="102">
        <f>IF(AND(Q375=M375,(U375="Reorder Required")=(N375="Reorder Required")),"OK","Mismatch")</f>
        <v/>
      </c>
      <c r="W375" s="99" t="n"/>
    </row>
    <row r="376">
      <c r="A376" s="99" t="inlineStr">
        <is>
          <t>INV00375</t>
        </is>
      </c>
      <c r="B376" s="99" t="inlineStr">
        <is>
          <t>OUT008</t>
        </is>
      </c>
      <c r="C376" s="99">
        <f>INDEX(Lookup!$B$2:$B$11,MATCH(B376,Lookup!$A$2:$A$11,0))</f>
        <v/>
      </c>
      <c r="D376" s="99" t="inlineStr">
        <is>
          <t>BP025</t>
        </is>
      </c>
      <c r="E376" s="99">
        <f>INDEX(Lookup!$E$2:$E$51,MATCH(D376,Lookup!$D$2:$D$51,0))</f>
        <v/>
      </c>
      <c r="F376" s="99">
        <f>INDEX(Lookup!$F$2:$F$51,MATCH(D376,Lookup!$D$2:$D$51,0))</f>
        <v/>
      </c>
      <c r="G376" s="100" t="n">
        <v>113</v>
      </c>
      <c r="H376" s="100" t="n">
        <v>29</v>
      </c>
      <c r="I376" s="100" t="n">
        <v>76</v>
      </c>
      <c r="J376" s="100" t="n">
        <v>2</v>
      </c>
      <c r="K376" s="100" t="n">
        <v>30</v>
      </c>
      <c r="L376" s="100" t="n">
        <v>5</v>
      </c>
      <c r="M376" s="100" t="n">
        <v>64</v>
      </c>
      <c r="N376" s="99" t="inlineStr">
        <is>
          <t>Healthy</t>
        </is>
      </c>
      <c r="O376" s="100">
        <f>G376+H376</f>
        <v/>
      </c>
      <c r="P376" s="100">
        <f>G376+H376-I376-J376</f>
        <v/>
      </c>
      <c r="Q376" s="100">
        <f>MAX(0,P376)</f>
        <v/>
      </c>
      <c r="R376" s="100">
        <f>MAX(0,-P376)</f>
        <v/>
      </c>
      <c r="S376" s="101">
        <f>IFERROR(J376/O376,0)</f>
        <v/>
      </c>
      <c r="T376" s="101">
        <f>IFERROR(I376/O376,0)</f>
        <v/>
      </c>
      <c r="U376" s="102">
        <f>IF(P376&lt;=K376,"Reorder Required","Stock Sufficient")</f>
        <v/>
      </c>
      <c r="V376" s="102">
        <f>IF(AND(Q376=M376,(U376="Reorder Required")=(N376="Reorder Required")),"OK","Mismatch")</f>
        <v/>
      </c>
      <c r="W376" s="99" t="n"/>
    </row>
    <row r="377">
      <c r="A377" s="99" t="inlineStr">
        <is>
          <t>INV00376</t>
        </is>
      </c>
      <c r="B377" s="99" t="inlineStr">
        <is>
          <t>OUT008</t>
        </is>
      </c>
      <c r="C377" s="99">
        <f>INDEX(Lookup!$B$2:$B$11,MATCH(B377,Lookup!$A$2:$A$11,0))</f>
        <v/>
      </c>
      <c r="D377" s="99" t="inlineStr">
        <is>
          <t>BP026</t>
        </is>
      </c>
      <c r="E377" s="99">
        <f>INDEX(Lookup!$E$2:$E$51,MATCH(D377,Lookup!$D$2:$D$51,0))</f>
        <v/>
      </c>
      <c r="F377" s="99">
        <f>INDEX(Lookup!$F$2:$F$51,MATCH(D377,Lookup!$D$2:$D$51,0))</f>
        <v/>
      </c>
      <c r="G377" s="100" t="n">
        <v>53</v>
      </c>
      <c r="H377" s="100" t="n">
        <v>80</v>
      </c>
      <c r="I377" s="100" t="n">
        <v>109</v>
      </c>
      <c r="J377" s="100" t="n">
        <v>0</v>
      </c>
      <c r="K377" s="100" t="n">
        <v>18</v>
      </c>
      <c r="L377" s="100" t="n">
        <v>4</v>
      </c>
      <c r="M377" s="100" t="n">
        <v>24</v>
      </c>
      <c r="N377" s="99" t="inlineStr">
        <is>
          <t>Healthy</t>
        </is>
      </c>
      <c r="O377" s="100">
        <f>G377+H377</f>
        <v/>
      </c>
      <c r="P377" s="100">
        <f>G377+H377-I377-J377</f>
        <v/>
      </c>
      <c r="Q377" s="100">
        <f>MAX(0,P377)</f>
        <v/>
      </c>
      <c r="R377" s="100">
        <f>MAX(0,-P377)</f>
        <v/>
      </c>
      <c r="S377" s="101">
        <f>IFERROR(J377/O377,0)</f>
        <v/>
      </c>
      <c r="T377" s="101">
        <f>IFERROR(I377/O377,0)</f>
        <v/>
      </c>
      <c r="U377" s="102">
        <f>IF(P377&lt;=K377,"Reorder Required","Stock Sufficient")</f>
        <v/>
      </c>
      <c r="V377" s="102">
        <f>IF(AND(Q377=M377,(U377="Reorder Required")=(N377="Reorder Required")),"OK","Mismatch")</f>
        <v/>
      </c>
      <c r="W377" s="99" t="n"/>
    </row>
    <row r="378">
      <c r="A378" s="99" t="inlineStr">
        <is>
          <t>INV00377</t>
        </is>
      </c>
      <c r="B378" s="99" t="inlineStr">
        <is>
          <t>OUT008</t>
        </is>
      </c>
      <c r="C378" s="99">
        <f>INDEX(Lookup!$B$2:$B$11,MATCH(B378,Lookup!$A$2:$A$11,0))</f>
        <v/>
      </c>
      <c r="D378" s="99" t="inlineStr">
        <is>
          <t>BP027</t>
        </is>
      </c>
      <c r="E378" s="99">
        <f>INDEX(Lookup!$E$2:$E$51,MATCH(D378,Lookup!$D$2:$D$51,0))</f>
        <v/>
      </c>
      <c r="F378" s="99">
        <f>INDEX(Lookup!$F$2:$F$51,MATCH(D378,Lookup!$D$2:$D$51,0))</f>
        <v/>
      </c>
      <c r="G378" s="100" t="n">
        <v>121</v>
      </c>
      <c r="H378" s="100" t="n">
        <v>63</v>
      </c>
      <c r="I378" s="100" t="n">
        <v>119</v>
      </c>
      <c r="J378" s="100" t="n">
        <v>3</v>
      </c>
      <c r="K378" s="100" t="n">
        <v>32</v>
      </c>
      <c r="L378" s="100" t="n">
        <v>3</v>
      </c>
      <c r="M378" s="100" t="n">
        <v>62</v>
      </c>
      <c r="N378" s="99" t="inlineStr">
        <is>
          <t>Healthy</t>
        </is>
      </c>
      <c r="O378" s="100">
        <f>G378+H378</f>
        <v/>
      </c>
      <c r="P378" s="100">
        <f>G378+H378-I378-J378</f>
        <v/>
      </c>
      <c r="Q378" s="100">
        <f>MAX(0,P378)</f>
        <v/>
      </c>
      <c r="R378" s="100">
        <f>MAX(0,-P378)</f>
        <v/>
      </c>
      <c r="S378" s="101">
        <f>IFERROR(J378/O378,0)</f>
        <v/>
      </c>
      <c r="T378" s="101">
        <f>IFERROR(I378/O378,0)</f>
        <v/>
      </c>
      <c r="U378" s="102">
        <f>IF(P378&lt;=K378,"Reorder Required","Stock Sufficient")</f>
        <v/>
      </c>
      <c r="V378" s="102">
        <f>IF(AND(Q378=M378,(U378="Reorder Required")=(N378="Reorder Required")),"OK","Mismatch")</f>
        <v/>
      </c>
      <c r="W378" s="99" t="n"/>
    </row>
    <row r="379">
      <c r="A379" s="99" t="inlineStr">
        <is>
          <t>INV00378</t>
        </is>
      </c>
      <c r="B379" s="99" t="inlineStr">
        <is>
          <t>OUT008</t>
        </is>
      </c>
      <c r="C379" s="99">
        <f>INDEX(Lookup!$B$2:$B$11,MATCH(B379,Lookup!$A$2:$A$11,0))</f>
        <v/>
      </c>
      <c r="D379" s="99" t="inlineStr">
        <is>
          <t>BP028</t>
        </is>
      </c>
      <c r="E379" s="99">
        <f>INDEX(Lookup!$E$2:$E$51,MATCH(D379,Lookup!$D$2:$D$51,0))</f>
        <v/>
      </c>
      <c r="F379" s="99">
        <f>INDEX(Lookup!$F$2:$F$51,MATCH(D379,Lookup!$D$2:$D$51,0))</f>
        <v/>
      </c>
      <c r="G379" s="100" t="n">
        <v>125</v>
      </c>
      <c r="H379" s="100" t="n">
        <v>53</v>
      </c>
      <c r="I379" s="100" t="n">
        <v>69</v>
      </c>
      <c r="J379" s="100" t="n">
        <v>1</v>
      </c>
      <c r="K379" s="100" t="n">
        <v>34</v>
      </c>
      <c r="L379" s="100" t="n">
        <v>4</v>
      </c>
      <c r="M379" s="100" t="n">
        <v>108</v>
      </c>
      <c r="N379" s="99" t="inlineStr">
        <is>
          <t>Healthy</t>
        </is>
      </c>
      <c r="O379" s="100">
        <f>G379+H379</f>
        <v/>
      </c>
      <c r="P379" s="100">
        <f>G379+H379-I379-J379</f>
        <v/>
      </c>
      <c r="Q379" s="100">
        <f>MAX(0,P379)</f>
        <v/>
      </c>
      <c r="R379" s="100">
        <f>MAX(0,-P379)</f>
        <v/>
      </c>
      <c r="S379" s="101">
        <f>IFERROR(J379/O379,0)</f>
        <v/>
      </c>
      <c r="T379" s="101">
        <f>IFERROR(I379/O379,0)</f>
        <v/>
      </c>
      <c r="U379" s="102">
        <f>IF(P379&lt;=K379,"Reorder Required","Stock Sufficient")</f>
        <v/>
      </c>
      <c r="V379" s="102">
        <f>IF(AND(Q379=M379,(U379="Reorder Required")=(N379="Reorder Required")),"OK","Mismatch")</f>
        <v/>
      </c>
      <c r="W379" s="99" t="n"/>
    </row>
    <row r="380">
      <c r="A380" s="99" t="inlineStr">
        <is>
          <t>INV00379</t>
        </is>
      </c>
      <c r="B380" s="99" t="inlineStr">
        <is>
          <t>OUT008</t>
        </is>
      </c>
      <c r="C380" s="99">
        <f>INDEX(Lookup!$B$2:$B$11,MATCH(B380,Lookup!$A$2:$A$11,0))</f>
        <v/>
      </c>
      <c r="D380" s="99" t="inlineStr">
        <is>
          <t>BP029</t>
        </is>
      </c>
      <c r="E380" s="99">
        <f>INDEX(Lookup!$E$2:$E$51,MATCH(D380,Lookup!$D$2:$D$51,0))</f>
        <v/>
      </c>
      <c r="F380" s="99">
        <f>INDEX(Lookup!$F$2:$F$51,MATCH(D380,Lookup!$D$2:$D$51,0))</f>
        <v/>
      </c>
      <c r="G380" s="100" t="n">
        <v>100</v>
      </c>
      <c r="H380" s="100" t="n">
        <v>63</v>
      </c>
      <c r="I380" s="100" t="n">
        <v>39</v>
      </c>
      <c r="J380" s="100" t="n">
        <v>2</v>
      </c>
      <c r="K380" s="100" t="n">
        <v>31</v>
      </c>
      <c r="L380" s="100" t="n">
        <v>4</v>
      </c>
      <c r="M380" s="100" t="n">
        <v>122</v>
      </c>
      <c r="N380" s="99" t="inlineStr">
        <is>
          <t>Healthy</t>
        </is>
      </c>
      <c r="O380" s="100">
        <f>G380+H380</f>
        <v/>
      </c>
      <c r="P380" s="100">
        <f>G380+H380-I380-J380</f>
        <v/>
      </c>
      <c r="Q380" s="100">
        <f>MAX(0,P380)</f>
        <v/>
      </c>
      <c r="R380" s="100">
        <f>MAX(0,-P380)</f>
        <v/>
      </c>
      <c r="S380" s="101">
        <f>IFERROR(J380/O380,0)</f>
        <v/>
      </c>
      <c r="T380" s="101">
        <f>IFERROR(I380/O380,0)</f>
        <v/>
      </c>
      <c r="U380" s="102">
        <f>IF(P380&lt;=K380,"Reorder Required","Stock Sufficient")</f>
        <v/>
      </c>
      <c r="V380" s="102">
        <f>IF(AND(Q380=M380,(U380="Reorder Required")=(N380="Reorder Required")),"OK","Mismatch")</f>
        <v/>
      </c>
      <c r="W380" s="99" t="n"/>
    </row>
    <row r="381">
      <c r="A381" s="99" t="inlineStr">
        <is>
          <t>INV00380</t>
        </is>
      </c>
      <c r="B381" s="99" t="inlineStr">
        <is>
          <t>OUT008</t>
        </is>
      </c>
      <c r="C381" s="99">
        <f>INDEX(Lookup!$B$2:$B$11,MATCH(B381,Lookup!$A$2:$A$11,0))</f>
        <v/>
      </c>
      <c r="D381" s="99" t="inlineStr">
        <is>
          <t>BP030</t>
        </is>
      </c>
      <c r="E381" s="99">
        <f>INDEX(Lookup!$E$2:$E$51,MATCH(D381,Lookup!$D$2:$D$51,0))</f>
        <v/>
      </c>
      <c r="F381" s="99">
        <f>INDEX(Lookup!$F$2:$F$51,MATCH(D381,Lookup!$D$2:$D$51,0))</f>
        <v/>
      </c>
      <c r="G381" s="100" t="n">
        <v>140</v>
      </c>
      <c r="H381" s="100" t="n">
        <v>36</v>
      </c>
      <c r="I381" s="100" t="n">
        <v>86</v>
      </c>
      <c r="J381" s="100" t="n">
        <v>8</v>
      </c>
      <c r="K381" s="100" t="n">
        <v>27</v>
      </c>
      <c r="L381" s="100" t="n">
        <v>5</v>
      </c>
      <c r="M381" s="100" t="n">
        <v>82</v>
      </c>
      <c r="N381" s="99" t="inlineStr">
        <is>
          <t>Healthy</t>
        </is>
      </c>
      <c r="O381" s="100">
        <f>G381+H381</f>
        <v/>
      </c>
      <c r="P381" s="100">
        <f>G381+H381-I381-J381</f>
        <v/>
      </c>
      <c r="Q381" s="100">
        <f>MAX(0,P381)</f>
        <v/>
      </c>
      <c r="R381" s="100">
        <f>MAX(0,-P381)</f>
        <v/>
      </c>
      <c r="S381" s="101">
        <f>IFERROR(J381/O381,0)</f>
        <v/>
      </c>
      <c r="T381" s="101">
        <f>IFERROR(I381/O381,0)</f>
        <v/>
      </c>
      <c r="U381" s="102">
        <f>IF(P381&lt;=K381,"Reorder Required","Stock Sufficient")</f>
        <v/>
      </c>
      <c r="V381" s="102">
        <f>IF(AND(Q381=M381,(U381="Reorder Required")=(N381="Reorder Required")),"OK","Mismatch")</f>
        <v/>
      </c>
      <c r="W381" s="99" t="n"/>
    </row>
    <row r="382">
      <c r="A382" s="99" t="inlineStr">
        <is>
          <t>INV00381</t>
        </is>
      </c>
      <c r="B382" s="99" t="inlineStr">
        <is>
          <t>OUT008</t>
        </is>
      </c>
      <c r="C382" s="99">
        <f>INDEX(Lookup!$B$2:$B$11,MATCH(B382,Lookup!$A$2:$A$11,0))</f>
        <v/>
      </c>
      <c r="D382" s="99" t="inlineStr">
        <is>
          <t>BP031</t>
        </is>
      </c>
      <c r="E382" s="99">
        <f>INDEX(Lookup!$E$2:$E$51,MATCH(D382,Lookup!$D$2:$D$51,0))</f>
        <v/>
      </c>
      <c r="F382" s="99">
        <f>INDEX(Lookup!$F$2:$F$51,MATCH(D382,Lookup!$D$2:$D$51,0))</f>
        <v/>
      </c>
      <c r="G382" s="100" t="n">
        <v>55</v>
      </c>
      <c r="H382" s="100" t="n">
        <v>74</v>
      </c>
      <c r="I382" s="100" t="n">
        <v>107</v>
      </c>
      <c r="J382" s="100" t="n">
        <v>7</v>
      </c>
      <c r="K382" s="100" t="n">
        <v>20</v>
      </c>
      <c r="L382" s="100" t="n">
        <v>3</v>
      </c>
      <c r="M382" s="100" t="n">
        <v>15</v>
      </c>
      <c r="N382" s="99" t="inlineStr">
        <is>
          <t>Reorder Required</t>
        </is>
      </c>
      <c r="O382" s="100">
        <f>G382+H382</f>
        <v/>
      </c>
      <c r="P382" s="100">
        <f>G382+H382-I382-J382</f>
        <v/>
      </c>
      <c r="Q382" s="100">
        <f>MAX(0,P382)</f>
        <v/>
      </c>
      <c r="R382" s="100">
        <f>MAX(0,-P382)</f>
        <v/>
      </c>
      <c r="S382" s="101">
        <f>IFERROR(J382/O382,0)</f>
        <v/>
      </c>
      <c r="T382" s="101">
        <f>IFERROR(I382/O382,0)</f>
        <v/>
      </c>
      <c r="U382" s="102">
        <f>IF(P382&lt;=K382,"Reorder Required","Stock Sufficient")</f>
        <v/>
      </c>
      <c r="V382" s="102">
        <f>IF(AND(Q382=M382,(U382="Reorder Required")=(N382="Reorder Required")),"OK","Mismatch")</f>
        <v/>
      </c>
      <c r="W382" s="99" t="inlineStr">
        <is>
          <t>Restock immediately</t>
        </is>
      </c>
    </row>
    <row r="383">
      <c r="A383" s="99" t="inlineStr">
        <is>
          <t>INV00382</t>
        </is>
      </c>
      <c r="B383" s="99" t="inlineStr">
        <is>
          <t>OUT008</t>
        </is>
      </c>
      <c r="C383" s="99">
        <f>INDEX(Lookup!$B$2:$B$11,MATCH(B383,Lookup!$A$2:$A$11,0))</f>
        <v/>
      </c>
      <c r="D383" s="99" t="inlineStr">
        <is>
          <t>BP032</t>
        </is>
      </c>
      <c r="E383" s="99">
        <f>INDEX(Lookup!$E$2:$E$51,MATCH(D383,Lookup!$D$2:$D$51,0))</f>
        <v/>
      </c>
      <c r="F383" s="99">
        <f>INDEX(Lookup!$F$2:$F$51,MATCH(D383,Lookup!$D$2:$D$51,0))</f>
        <v/>
      </c>
      <c r="G383" s="100" t="n">
        <v>104</v>
      </c>
      <c r="H383" s="100" t="n">
        <v>78</v>
      </c>
      <c r="I383" s="100" t="n">
        <v>42</v>
      </c>
      <c r="J383" s="100" t="n">
        <v>5</v>
      </c>
      <c r="K383" s="100" t="n">
        <v>40</v>
      </c>
      <c r="L383" s="100" t="n">
        <v>4</v>
      </c>
      <c r="M383" s="100" t="n">
        <v>135</v>
      </c>
      <c r="N383" s="99" t="inlineStr">
        <is>
          <t>Healthy</t>
        </is>
      </c>
      <c r="O383" s="100">
        <f>G383+H383</f>
        <v/>
      </c>
      <c r="P383" s="100">
        <f>G383+H383-I383-J383</f>
        <v/>
      </c>
      <c r="Q383" s="100">
        <f>MAX(0,P383)</f>
        <v/>
      </c>
      <c r="R383" s="100">
        <f>MAX(0,-P383)</f>
        <v/>
      </c>
      <c r="S383" s="101">
        <f>IFERROR(J383/O383,0)</f>
        <v/>
      </c>
      <c r="T383" s="101">
        <f>IFERROR(I383/O383,0)</f>
        <v/>
      </c>
      <c r="U383" s="102">
        <f>IF(P383&lt;=K383,"Reorder Required","Stock Sufficient")</f>
        <v/>
      </c>
      <c r="V383" s="102">
        <f>IF(AND(Q383=M383,(U383="Reorder Required")=(N383="Reorder Required")),"OK","Mismatch")</f>
        <v/>
      </c>
      <c r="W383" s="99" t="n"/>
    </row>
    <row r="384">
      <c r="A384" s="99" t="inlineStr">
        <is>
          <t>INV00383</t>
        </is>
      </c>
      <c r="B384" s="99" t="inlineStr">
        <is>
          <t>OUT008</t>
        </is>
      </c>
      <c r="C384" s="99">
        <f>INDEX(Lookup!$B$2:$B$11,MATCH(B384,Lookup!$A$2:$A$11,0))</f>
        <v/>
      </c>
      <c r="D384" s="99" t="inlineStr">
        <is>
          <t>BP033</t>
        </is>
      </c>
      <c r="E384" s="99">
        <f>INDEX(Lookup!$E$2:$E$51,MATCH(D384,Lookup!$D$2:$D$51,0))</f>
        <v/>
      </c>
      <c r="F384" s="99">
        <f>INDEX(Lookup!$F$2:$F$51,MATCH(D384,Lookup!$D$2:$D$51,0))</f>
        <v/>
      </c>
      <c r="G384" s="100" t="n">
        <v>78</v>
      </c>
      <c r="H384" s="100" t="n">
        <v>92</v>
      </c>
      <c r="I384" s="100" t="n">
        <v>138</v>
      </c>
      <c r="J384" s="100" t="n">
        <v>4</v>
      </c>
      <c r="K384" s="100" t="n">
        <v>25</v>
      </c>
      <c r="L384" s="100" t="n">
        <v>4</v>
      </c>
      <c r="M384" s="100" t="n">
        <v>28</v>
      </c>
      <c r="N384" s="99" t="inlineStr">
        <is>
          <t>Healthy</t>
        </is>
      </c>
      <c r="O384" s="100">
        <f>G384+H384</f>
        <v/>
      </c>
      <c r="P384" s="100">
        <f>G384+H384-I384-J384</f>
        <v/>
      </c>
      <c r="Q384" s="100">
        <f>MAX(0,P384)</f>
        <v/>
      </c>
      <c r="R384" s="100">
        <f>MAX(0,-P384)</f>
        <v/>
      </c>
      <c r="S384" s="101">
        <f>IFERROR(J384/O384,0)</f>
        <v/>
      </c>
      <c r="T384" s="101">
        <f>IFERROR(I384/O384,0)</f>
        <v/>
      </c>
      <c r="U384" s="102">
        <f>IF(P384&lt;=K384,"Reorder Required","Stock Sufficient")</f>
        <v/>
      </c>
      <c r="V384" s="102">
        <f>IF(AND(Q384=M384,(U384="Reorder Required")=(N384="Reorder Required")),"OK","Mismatch")</f>
        <v/>
      </c>
      <c r="W384" s="99" t="n"/>
    </row>
    <row r="385">
      <c r="A385" s="99" t="inlineStr">
        <is>
          <t>INV00384</t>
        </is>
      </c>
      <c r="B385" s="99" t="inlineStr">
        <is>
          <t>OUT008</t>
        </is>
      </c>
      <c r="C385" s="99">
        <f>INDEX(Lookup!$B$2:$B$11,MATCH(B385,Lookup!$A$2:$A$11,0))</f>
        <v/>
      </c>
      <c r="D385" s="99" t="inlineStr">
        <is>
          <t>BP034</t>
        </is>
      </c>
      <c r="E385" s="99">
        <f>INDEX(Lookup!$E$2:$E$51,MATCH(D385,Lookup!$D$2:$D$51,0))</f>
        <v/>
      </c>
      <c r="F385" s="99">
        <f>INDEX(Lookup!$F$2:$F$51,MATCH(D385,Lookup!$D$2:$D$51,0))</f>
        <v/>
      </c>
      <c r="G385" s="100" t="n">
        <v>60</v>
      </c>
      <c r="H385" s="100" t="n">
        <v>56</v>
      </c>
      <c r="I385" s="100" t="n">
        <v>135</v>
      </c>
      <c r="J385" s="100" t="n">
        <v>6</v>
      </c>
      <c r="K385" s="100" t="n">
        <v>17</v>
      </c>
      <c r="L385" s="100" t="n">
        <v>4</v>
      </c>
      <c r="M385" s="100" t="n">
        <v>0</v>
      </c>
      <c r="N385" s="99" t="inlineStr">
        <is>
          <t>Reorder Required</t>
        </is>
      </c>
      <c r="O385" s="100">
        <f>G385+H385</f>
        <v/>
      </c>
      <c r="P385" s="100">
        <f>G385+H385-I385-J385</f>
        <v/>
      </c>
      <c r="Q385" s="100">
        <f>MAX(0,P385)</f>
        <v/>
      </c>
      <c r="R385" s="100">
        <f>MAX(0,-P385)</f>
        <v/>
      </c>
      <c r="S385" s="101">
        <f>IFERROR(J385/O385,0)</f>
        <v/>
      </c>
      <c r="T385" s="101">
        <f>IFERROR(I385/O385,0)</f>
        <v/>
      </c>
      <c r="U385" s="102">
        <f>IF(P385&lt;=K385,"Reorder Required","Stock Sufficient")</f>
        <v/>
      </c>
      <c r="V385" s="102">
        <f>IF(AND(Q385=M385,(U385="Reorder Required")=(N385="Reorder Required")),"OK","Mismatch")</f>
        <v/>
      </c>
      <c r="W385" s="99" t="inlineStr">
        <is>
          <t>Restock immediately</t>
        </is>
      </c>
    </row>
    <row r="386">
      <c r="A386" s="99" t="inlineStr">
        <is>
          <t>INV00385</t>
        </is>
      </c>
      <c r="B386" s="99" t="inlineStr">
        <is>
          <t>OUT008</t>
        </is>
      </c>
      <c r="C386" s="99">
        <f>INDEX(Lookup!$B$2:$B$11,MATCH(B386,Lookup!$A$2:$A$11,0))</f>
        <v/>
      </c>
      <c r="D386" s="99" t="inlineStr">
        <is>
          <t>BP035</t>
        </is>
      </c>
      <c r="E386" s="99">
        <f>INDEX(Lookup!$E$2:$E$51,MATCH(D386,Lookup!$D$2:$D$51,0))</f>
        <v/>
      </c>
      <c r="F386" s="99">
        <f>INDEX(Lookup!$F$2:$F$51,MATCH(D386,Lookup!$D$2:$D$51,0))</f>
        <v/>
      </c>
      <c r="G386" s="100" t="n">
        <v>118</v>
      </c>
      <c r="H386" s="100" t="n">
        <v>79</v>
      </c>
      <c r="I386" s="100" t="n">
        <v>84</v>
      </c>
      <c r="J386" s="100" t="n">
        <v>4</v>
      </c>
      <c r="K386" s="100" t="n">
        <v>17</v>
      </c>
      <c r="L386" s="100" t="n">
        <v>4</v>
      </c>
      <c r="M386" s="100" t="n">
        <v>109</v>
      </c>
      <c r="N386" s="99" t="inlineStr">
        <is>
          <t>Healthy</t>
        </is>
      </c>
      <c r="O386" s="100">
        <f>G386+H386</f>
        <v/>
      </c>
      <c r="P386" s="100">
        <f>G386+H386-I386-J386</f>
        <v/>
      </c>
      <c r="Q386" s="100">
        <f>MAX(0,P386)</f>
        <v/>
      </c>
      <c r="R386" s="100">
        <f>MAX(0,-P386)</f>
        <v/>
      </c>
      <c r="S386" s="101">
        <f>IFERROR(J386/O386,0)</f>
        <v/>
      </c>
      <c r="T386" s="101">
        <f>IFERROR(I386/O386,0)</f>
        <v/>
      </c>
      <c r="U386" s="102">
        <f>IF(P386&lt;=K386,"Reorder Required","Stock Sufficient")</f>
        <v/>
      </c>
      <c r="V386" s="102">
        <f>IF(AND(Q386=M386,(U386="Reorder Required")=(N386="Reorder Required")),"OK","Mismatch")</f>
        <v/>
      </c>
      <c r="W386" s="99" t="n"/>
    </row>
    <row r="387">
      <c r="A387" s="99" t="inlineStr">
        <is>
          <t>INV00386</t>
        </is>
      </c>
      <c r="B387" s="99" t="inlineStr">
        <is>
          <t>OUT008</t>
        </is>
      </c>
      <c r="C387" s="99">
        <f>INDEX(Lookup!$B$2:$B$11,MATCH(B387,Lookup!$A$2:$A$11,0))</f>
        <v/>
      </c>
      <c r="D387" s="99" t="inlineStr">
        <is>
          <t>BP036</t>
        </is>
      </c>
      <c r="E387" s="99">
        <f>INDEX(Lookup!$E$2:$E$51,MATCH(D387,Lookup!$D$2:$D$51,0))</f>
        <v/>
      </c>
      <c r="F387" s="99">
        <f>INDEX(Lookup!$F$2:$F$51,MATCH(D387,Lookup!$D$2:$D$51,0))</f>
        <v/>
      </c>
      <c r="G387" s="100" t="n">
        <v>40</v>
      </c>
      <c r="H387" s="100" t="n">
        <v>54</v>
      </c>
      <c r="I387" s="100" t="n">
        <v>37</v>
      </c>
      <c r="J387" s="100" t="n">
        <v>7</v>
      </c>
      <c r="K387" s="100" t="n">
        <v>27</v>
      </c>
      <c r="L387" s="100" t="n">
        <v>3</v>
      </c>
      <c r="M387" s="100" t="n">
        <v>50</v>
      </c>
      <c r="N387" s="99" t="inlineStr">
        <is>
          <t>Healthy</t>
        </is>
      </c>
      <c r="O387" s="100">
        <f>G387+H387</f>
        <v/>
      </c>
      <c r="P387" s="100">
        <f>G387+H387-I387-J387</f>
        <v/>
      </c>
      <c r="Q387" s="100">
        <f>MAX(0,P387)</f>
        <v/>
      </c>
      <c r="R387" s="100">
        <f>MAX(0,-P387)</f>
        <v/>
      </c>
      <c r="S387" s="101">
        <f>IFERROR(J387/O387,0)</f>
        <v/>
      </c>
      <c r="T387" s="101">
        <f>IFERROR(I387/O387,0)</f>
        <v/>
      </c>
      <c r="U387" s="102">
        <f>IF(P387&lt;=K387,"Reorder Required","Stock Sufficient")</f>
        <v/>
      </c>
      <c r="V387" s="102">
        <f>IF(AND(Q387=M387,(U387="Reorder Required")=(N387="Reorder Required")),"OK","Mismatch")</f>
        <v/>
      </c>
      <c r="W387" s="99" t="n"/>
    </row>
    <row r="388">
      <c r="A388" s="99" t="inlineStr">
        <is>
          <t>INV00387</t>
        </is>
      </c>
      <c r="B388" s="99" t="inlineStr">
        <is>
          <t>OUT008</t>
        </is>
      </c>
      <c r="C388" s="99">
        <f>INDEX(Lookup!$B$2:$B$11,MATCH(B388,Lookup!$A$2:$A$11,0))</f>
        <v/>
      </c>
      <c r="D388" s="99" t="inlineStr">
        <is>
          <t>BP037</t>
        </is>
      </c>
      <c r="E388" s="99">
        <f>INDEX(Lookup!$E$2:$E$51,MATCH(D388,Lookup!$D$2:$D$51,0))</f>
        <v/>
      </c>
      <c r="F388" s="99">
        <f>INDEX(Lookup!$F$2:$F$51,MATCH(D388,Lookup!$D$2:$D$51,0))</f>
        <v/>
      </c>
      <c r="G388" s="100" t="n">
        <v>73</v>
      </c>
      <c r="H388" s="100" t="n">
        <v>24</v>
      </c>
      <c r="I388" s="100" t="n">
        <v>84</v>
      </c>
      <c r="J388" s="100" t="n">
        <v>2</v>
      </c>
      <c r="K388" s="100" t="n">
        <v>22</v>
      </c>
      <c r="L388" s="100" t="n">
        <v>5</v>
      </c>
      <c r="M388" s="100" t="n">
        <v>11</v>
      </c>
      <c r="N388" s="99" t="inlineStr">
        <is>
          <t>Reorder Required</t>
        </is>
      </c>
      <c r="O388" s="100">
        <f>G388+H388</f>
        <v/>
      </c>
      <c r="P388" s="100">
        <f>G388+H388-I388-J388</f>
        <v/>
      </c>
      <c r="Q388" s="100">
        <f>MAX(0,P388)</f>
        <v/>
      </c>
      <c r="R388" s="100">
        <f>MAX(0,-P388)</f>
        <v/>
      </c>
      <c r="S388" s="101">
        <f>IFERROR(J388/O388,0)</f>
        <v/>
      </c>
      <c r="T388" s="101">
        <f>IFERROR(I388/O388,0)</f>
        <v/>
      </c>
      <c r="U388" s="102">
        <f>IF(P388&lt;=K388,"Reorder Required","Stock Sufficient")</f>
        <v/>
      </c>
      <c r="V388" s="102">
        <f>IF(AND(Q388=M388,(U388="Reorder Required")=(N388="Reorder Required")),"OK","Mismatch")</f>
        <v/>
      </c>
      <c r="W388" s="99" t="inlineStr">
        <is>
          <t>Restock immediately</t>
        </is>
      </c>
    </row>
    <row r="389">
      <c r="A389" s="99" t="inlineStr">
        <is>
          <t>INV00388</t>
        </is>
      </c>
      <c r="B389" s="99" t="inlineStr">
        <is>
          <t>OUT008</t>
        </is>
      </c>
      <c r="C389" s="99">
        <f>INDEX(Lookup!$B$2:$B$11,MATCH(B389,Lookup!$A$2:$A$11,0))</f>
        <v/>
      </c>
      <c r="D389" s="99" t="inlineStr">
        <is>
          <t>BP038</t>
        </is>
      </c>
      <c r="E389" s="99">
        <f>INDEX(Lookup!$E$2:$E$51,MATCH(D389,Lookup!$D$2:$D$51,0))</f>
        <v/>
      </c>
      <c r="F389" s="99">
        <f>INDEX(Lookup!$F$2:$F$51,MATCH(D389,Lookup!$D$2:$D$51,0))</f>
        <v/>
      </c>
      <c r="G389" s="100" t="n">
        <v>42</v>
      </c>
      <c r="H389" s="100" t="n">
        <v>81</v>
      </c>
      <c r="I389" s="100" t="n">
        <v>41</v>
      </c>
      <c r="J389" s="100" t="n">
        <v>2</v>
      </c>
      <c r="K389" s="100" t="n">
        <v>26</v>
      </c>
      <c r="L389" s="100" t="n">
        <v>3</v>
      </c>
      <c r="M389" s="100" t="n">
        <v>80</v>
      </c>
      <c r="N389" s="99" t="inlineStr">
        <is>
          <t>Healthy</t>
        </is>
      </c>
      <c r="O389" s="100">
        <f>G389+H389</f>
        <v/>
      </c>
      <c r="P389" s="100">
        <f>G389+H389-I389-J389</f>
        <v/>
      </c>
      <c r="Q389" s="100">
        <f>MAX(0,P389)</f>
        <v/>
      </c>
      <c r="R389" s="100">
        <f>MAX(0,-P389)</f>
        <v/>
      </c>
      <c r="S389" s="101">
        <f>IFERROR(J389/O389,0)</f>
        <v/>
      </c>
      <c r="T389" s="101">
        <f>IFERROR(I389/O389,0)</f>
        <v/>
      </c>
      <c r="U389" s="102">
        <f>IF(P389&lt;=K389,"Reorder Required","Stock Sufficient")</f>
        <v/>
      </c>
      <c r="V389" s="102">
        <f>IF(AND(Q389=M389,(U389="Reorder Required")=(N389="Reorder Required")),"OK","Mismatch")</f>
        <v/>
      </c>
      <c r="W389" s="99" t="n"/>
    </row>
    <row r="390">
      <c r="A390" s="99" t="inlineStr">
        <is>
          <t>INV00389</t>
        </is>
      </c>
      <c r="B390" s="99" t="inlineStr">
        <is>
          <t>OUT008</t>
        </is>
      </c>
      <c r="C390" s="99">
        <f>INDEX(Lookup!$B$2:$B$11,MATCH(B390,Lookup!$A$2:$A$11,0))</f>
        <v/>
      </c>
      <c r="D390" s="99" t="inlineStr">
        <is>
          <t>BP039</t>
        </is>
      </c>
      <c r="E390" s="99">
        <f>INDEX(Lookup!$E$2:$E$51,MATCH(D390,Lookup!$D$2:$D$51,0))</f>
        <v/>
      </c>
      <c r="F390" s="99">
        <f>INDEX(Lookup!$F$2:$F$51,MATCH(D390,Lookup!$D$2:$D$51,0))</f>
        <v/>
      </c>
      <c r="G390" s="100" t="n">
        <v>146</v>
      </c>
      <c r="H390" s="100" t="n">
        <v>42</v>
      </c>
      <c r="I390" s="100" t="n">
        <v>47</v>
      </c>
      <c r="J390" s="100" t="n">
        <v>3</v>
      </c>
      <c r="K390" s="100" t="n">
        <v>35</v>
      </c>
      <c r="L390" s="100" t="n">
        <v>5</v>
      </c>
      <c r="M390" s="100" t="n">
        <v>138</v>
      </c>
      <c r="N390" s="99" t="inlineStr">
        <is>
          <t>Healthy</t>
        </is>
      </c>
      <c r="O390" s="100">
        <f>G390+H390</f>
        <v/>
      </c>
      <c r="P390" s="100">
        <f>G390+H390-I390-J390</f>
        <v/>
      </c>
      <c r="Q390" s="100">
        <f>MAX(0,P390)</f>
        <v/>
      </c>
      <c r="R390" s="100">
        <f>MAX(0,-P390)</f>
        <v/>
      </c>
      <c r="S390" s="101">
        <f>IFERROR(J390/O390,0)</f>
        <v/>
      </c>
      <c r="T390" s="101">
        <f>IFERROR(I390/O390,0)</f>
        <v/>
      </c>
      <c r="U390" s="102">
        <f>IF(P390&lt;=K390,"Reorder Required","Stock Sufficient")</f>
        <v/>
      </c>
      <c r="V390" s="102">
        <f>IF(AND(Q390=M390,(U390="Reorder Required")=(N390="Reorder Required")),"OK","Mismatch")</f>
        <v/>
      </c>
      <c r="W390" s="99" t="n"/>
    </row>
    <row r="391">
      <c r="A391" s="99" t="inlineStr">
        <is>
          <t>INV00390</t>
        </is>
      </c>
      <c r="B391" s="99" t="inlineStr">
        <is>
          <t>OUT008</t>
        </is>
      </c>
      <c r="C391" s="99">
        <f>INDEX(Lookup!$B$2:$B$11,MATCH(B391,Lookup!$A$2:$A$11,0))</f>
        <v/>
      </c>
      <c r="D391" s="99" t="inlineStr">
        <is>
          <t>BP040</t>
        </is>
      </c>
      <c r="E391" s="99">
        <f>INDEX(Lookup!$E$2:$E$51,MATCH(D391,Lookup!$D$2:$D$51,0))</f>
        <v/>
      </c>
      <c r="F391" s="99">
        <f>INDEX(Lookup!$F$2:$F$51,MATCH(D391,Lookup!$D$2:$D$51,0))</f>
        <v/>
      </c>
      <c r="G391" s="100" t="n">
        <v>100</v>
      </c>
      <c r="H391" s="100" t="n">
        <v>77</v>
      </c>
      <c r="I391" s="100" t="n">
        <v>133</v>
      </c>
      <c r="J391" s="100" t="n">
        <v>7</v>
      </c>
      <c r="K391" s="100" t="n">
        <v>23</v>
      </c>
      <c r="L391" s="100" t="n">
        <v>5</v>
      </c>
      <c r="M391" s="100" t="n">
        <v>37</v>
      </c>
      <c r="N391" s="99" t="inlineStr">
        <is>
          <t>Healthy</t>
        </is>
      </c>
      <c r="O391" s="100">
        <f>G391+H391</f>
        <v/>
      </c>
      <c r="P391" s="100">
        <f>G391+H391-I391-J391</f>
        <v/>
      </c>
      <c r="Q391" s="100">
        <f>MAX(0,P391)</f>
        <v/>
      </c>
      <c r="R391" s="100">
        <f>MAX(0,-P391)</f>
        <v/>
      </c>
      <c r="S391" s="101">
        <f>IFERROR(J391/O391,0)</f>
        <v/>
      </c>
      <c r="T391" s="101">
        <f>IFERROR(I391/O391,0)</f>
        <v/>
      </c>
      <c r="U391" s="102">
        <f>IF(P391&lt;=K391,"Reorder Required","Stock Sufficient")</f>
        <v/>
      </c>
      <c r="V391" s="102">
        <f>IF(AND(Q391=M391,(U391="Reorder Required")=(N391="Reorder Required")),"OK","Mismatch")</f>
        <v/>
      </c>
      <c r="W391" s="99" t="n"/>
    </row>
    <row r="392">
      <c r="A392" s="99" t="inlineStr">
        <is>
          <t>INV00391</t>
        </is>
      </c>
      <c r="B392" s="99" t="inlineStr">
        <is>
          <t>OUT008</t>
        </is>
      </c>
      <c r="C392" s="99">
        <f>INDEX(Lookup!$B$2:$B$11,MATCH(B392,Lookup!$A$2:$A$11,0))</f>
        <v/>
      </c>
      <c r="D392" s="99" t="inlineStr">
        <is>
          <t>BP041</t>
        </is>
      </c>
      <c r="E392" s="99">
        <f>INDEX(Lookup!$E$2:$E$51,MATCH(D392,Lookup!$D$2:$D$51,0))</f>
        <v/>
      </c>
      <c r="F392" s="99">
        <f>INDEX(Lookup!$F$2:$F$51,MATCH(D392,Lookup!$D$2:$D$51,0))</f>
        <v/>
      </c>
      <c r="G392" s="100" t="n">
        <v>87</v>
      </c>
      <c r="H392" s="100" t="n">
        <v>37</v>
      </c>
      <c r="I392" s="100" t="n">
        <v>88</v>
      </c>
      <c r="J392" s="100" t="n">
        <v>3</v>
      </c>
      <c r="K392" s="100" t="n">
        <v>20</v>
      </c>
      <c r="L392" s="100" t="n">
        <v>3</v>
      </c>
      <c r="M392" s="100" t="n">
        <v>33</v>
      </c>
      <c r="N392" s="99" t="inlineStr">
        <is>
          <t>Healthy</t>
        </is>
      </c>
      <c r="O392" s="100">
        <f>G392+H392</f>
        <v/>
      </c>
      <c r="P392" s="100">
        <f>G392+H392-I392-J392</f>
        <v/>
      </c>
      <c r="Q392" s="100">
        <f>MAX(0,P392)</f>
        <v/>
      </c>
      <c r="R392" s="100">
        <f>MAX(0,-P392)</f>
        <v/>
      </c>
      <c r="S392" s="101">
        <f>IFERROR(J392/O392,0)</f>
        <v/>
      </c>
      <c r="T392" s="101">
        <f>IFERROR(I392/O392,0)</f>
        <v/>
      </c>
      <c r="U392" s="102">
        <f>IF(P392&lt;=K392,"Reorder Required","Stock Sufficient")</f>
        <v/>
      </c>
      <c r="V392" s="102">
        <f>IF(AND(Q392=M392,(U392="Reorder Required")=(N392="Reorder Required")),"OK","Mismatch")</f>
        <v/>
      </c>
      <c r="W392" s="99" t="n"/>
    </row>
    <row r="393">
      <c r="A393" s="99" t="inlineStr">
        <is>
          <t>INV00392</t>
        </is>
      </c>
      <c r="B393" s="99" t="inlineStr">
        <is>
          <t>OUT008</t>
        </is>
      </c>
      <c r="C393" s="99">
        <f>INDEX(Lookup!$B$2:$B$11,MATCH(B393,Lookup!$A$2:$A$11,0))</f>
        <v/>
      </c>
      <c r="D393" s="99" t="inlineStr">
        <is>
          <t>BP042</t>
        </is>
      </c>
      <c r="E393" s="99">
        <f>INDEX(Lookup!$E$2:$E$51,MATCH(D393,Lookup!$D$2:$D$51,0))</f>
        <v/>
      </c>
      <c r="F393" s="99">
        <f>INDEX(Lookup!$F$2:$F$51,MATCH(D393,Lookup!$D$2:$D$51,0))</f>
        <v/>
      </c>
      <c r="G393" s="100" t="n">
        <v>108</v>
      </c>
      <c r="H393" s="100" t="n">
        <v>28</v>
      </c>
      <c r="I393" s="100" t="n">
        <v>138</v>
      </c>
      <c r="J393" s="100" t="n">
        <v>2</v>
      </c>
      <c r="K393" s="100" t="n">
        <v>16</v>
      </c>
      <c r="L393" s="100" t="n">
        <v>4</v>
      </c>
      <c r="M393" s="100" t="n">
        <v>0</v>
      </c>
      <c r="N393" s="99" t="inlineStr">
        <is>
          <t>Reorder Required</t>
        </is>
      </c>
      <c r="O393" s="100">
        <f>G393+H393</f>
        <v/>
      </c>
      <c r="P393" s="100">
        <f>G393+H393-I393-J393</f>
        <v/>
      </c>
      <c r="Q393" s="100">
        <f>MAX(0,P393)</f>
        <v/>
      </c>
      <c r="R393" s="100">
        <f>MAX(0,-P393)</f>
        <v/>
      </c>
      <c r="S393" s="101">
        <f>IFERROR(J393/O393,0)</f>
        <v/>
      </c>
      <c r="T393" s="101">
        <f>IFERROR(I393/O393,0)</f>
        <v/>
      </c>
      <c r="U393" s="102">
        <f>IF(P393&lt;=K393,"Reorder Required","Stock Sufficient")</f>
        <v/>
      </c>
      <c r="V393" s="102">
        <f>IF(AND(Q393=M393,(U393="Reorder Required")=(N393="Reorder Required")),"OK","Mismatch")</f>
        <v/>
      </c>
      <c r="W393" s="99" t="inlineStr">
        <is>
          <t>Restock immediately</t>
        </is>
      </c>
    </row>
    <row r="394">
      <c r="A394" s="99" t="inlineStr">
        <is>
          <t>INV00393</t>
        </is>
      </c>
      <c r="B394" s="99" t="inlineStr">
        <is>
          <t>OUT008</t>
        </is>
      </c>
      <c r="C394" s="99">
        <f>INDEX(Lookup!$B$2:$B$11,MATCH(B394,Lookup!$A$2:$A$11,0))</f>
        <v/>
      </c>
      <c r="D394" s="99" t="inlineStr">
        <is>
          <t>BP043</t>
        </is>
      </c>
      <c r="E394" s="99">
        <f>INDEX(Lookup!$E$2:$E$51,MATCH(D394,Lookup!$D$2:$D$51,0))</f>
        <v/>
      </c>
      <c r="F394" s="99">
        <f>INDEX(Lookup!$F$2:$F$51,MATCH(D394,Lookup!$D$2:$D$51,0))</f>
        <v/>
      </c>
      <c r="G394" s="100" t="n">
        <v>135</v>
      </c>
      <c r="H394" s="100" t="n">
        <v>72</v>
      </c>
      <c r="I394" s="100" t="n">
        <v>119</v>
      </c>
      <c r="J394" s="100" t="n">
        <v>3</v>
      </c>
      <c r="K394" s="100" t="n">
        <v>31</v>
      </c>
      <c r="L394" s="100" t="n">
        <v>1</v>
      </c>
      <c r="M394" s="100" t="n">
        <v>85</v>
      </c>
      <c r="N394" s="99" t="inlineStr">
        <is>
          <t>Healthy</t>
        </is>
      </c>
      <c r="O394" s="100">
        <f>G394+H394</f>
        <v/>
      </c>
      <c r="P394" s="100">
        <f>G394+H394-I394-J394</f>
        <v/>
      </c>
      <c r="Q394" s="100">
        <f>MAX(0,P394)</f>
        <v/>
      </c>
      <c r="R394" s="100">
        <f>MAX(0,-P394)</f>
        <v/>
      </c>
      <c r="S394" s="101">
        <f>IFERROR(J394/O394,0)</f>
        <v/>
      </c>
      <c r="T394" s="101">
        <f>IFERROR(I394/O394,0)</f>
        <v/>
      </c>
      <c r="U394" s="102">
        <f>IF(P394&lt;=K394,"Reorder Required","Stock Sufficient")</f>
        <v/>
      </c>
      <c r="V394" s="102">
        <f>IF(AND(Q394=M394,(U394="Reorder Required")=(N394="Reorder Required")),"OK","Mismatch")</f>
        <v/>
      </c>
      <c r="W394" s="99" t="n"/>
    </row>
    <row r="395">
      <c r="A395" s="99" t="inlineStr">
        <is>
          <t>INV00394</t>
        </is>
      </c>
      <c r="B395" s="99" t="inlineStr">
        <is>
          <t>OUT008</t>
        </is>
      </c>
      <c r="C395" s="99">
        <f>INDEX(Lookup!$B$2:$B$11,MATCH(B395,Lookup!$A$2:$A$11,0))</f>
        <v/>
      </c>
      <c r="D395" s="99" t="inlineStr">
        <is>
          <t>BP044</t>
        </is>
      </c>
      <c r="E395" s="99">
        <f>INDEX(Lookup!$E$2:$E$51,MATCH(D395,Lookup!$D$2:$D$51,0))</f>
        <v/>
      </c>
      <c r="F395" s="99">
        <f>INDEX(Lookup!$F$2:$F$51,MATCH(D395,Lookup!$D$2:$D$51,0))</f>
        <v/>
      </c>
      <c r="G395" s="100" t="n">
        <v>149</v>
      </c>
      <c r="H395" s="100" t="n">
        <v>78</v>
      </c>
      <c r="I395" s="100" t="n">
        <v>74</v>
      </c>
      <c r="J395" s="100" t="n">
        <v>3</v>
      </c>
      <c r="K395" s="100" t="n">
        <v>29</v>
      </c>
      <c r="L395" s="100" t="n">
        <v>3</v>
      </c>
      <c r="M395" s="100" t="n">
        <v>150</v>
      </c>
      <c r="N395" s="99" t="inlineStr">
        <is>
          <t>Healthy</t>
        </is>
      </c>
      <c r="O395" s="100">
        <f>G395+H395</f>
        <v/>
      </c>
      <c r="P395" s="100">
        <f>G395+H395-I395-J395</f>
        <v/>
      </c>
      <c r="Q395" s="100">
        <f>MAX(0,P395)</f>
        <v/>
      </c>
      <c r="R395" s="100">
        <f>MAX(0,-P395)</f>
        <v/>
      </c>
      <c r="S395" s="101">
        <f>IFERROR(J395/O395,0)</f>
        <v/>
      </c>
      <c r="T395" s="101">
        <f>IFERROR(I395/O395,0)</f>
        <v/>
      </c>
      <c r="U395" s="102">
        <f>IF(P395&lt;=K395,"Reorder Required","Stock Sufficient")</f>
        <v/>
      </c>
      <c r="V395" s="102">
        <f>IF(AND(Q395=M395,(U395="Reorder Required")=(N395="Reorder Required")),"OK","Mismatch")</f>
        <v/>
      </c>
      <c r="W395" s="99" t="n"/>
    </row>
    <row r="396">
      <c r="A396" s="99" t="inlineStr">
        <is>
          <t>INV00395</t>
        </is>
      </c>
      <c r="B396" s="99" t="inlineStr">
        <is>
          <t>OUT008</t>
        </is>
      </c>
      <c r="C396" s="99">
        <f>INDEX(Lookup!$B$2:$B$11,MATCH(B396,Lookup!$A$2:$A$11,0))</f>
        <v/>
      </c>
      <c r="D396" s="99" t="inlineStr">
        <is>
          <t>BP045</t>
        </is>
      </c>
      <c r="E396" s="99">
        <f>INDEX(Lookup!$E$2:$E$51,MATCH(D396,Lookup!$D$2:$D$51,0))</f>
        <v/>
      </c>
      <c r="F396" s="99">
        <f>INDEX(Lookup!$F$2:$F$51,MATCH(D396,Lookup!$D$2:$D$51,0))</f>
        <v/>
      </c>
      <c r="G396" s="100" t="n">
        <v>70</v>
      </c>
      <c r="H396" s="100" t="n">
        <v>20</v>
      </c>
      <c r="I396" s="100" t="n">
        <v>56</v>
      </c>
      <c r="J396" s="100" t="n">
        <v>0</v>
      </c>
      <c r="K396" s="100" t="n">
        <v>36</v>
      </c>
      <c r="L396" s="100" t="n">
        <v>2</v>
      </c>
      <c r="M396" s="100" t="n">
        <v>34</v>
      </c>
      <c r="N396" s="99" t="inlineStr">
        <is>
          <t>Reorder Required</t>
        </is>
      </c>
      <c r="O396" s="100">
        <f>G396+H396</f>
        <v/>
      </c>
      <c r="P396" s="100">
        <f>G396+H396-I396-J396</f>
        <v/>
      </c>
      <c r="Q396" s="100">
        <f>MAX(0,P396)</f>
        <v/>
      </c>
      <c r="R396" s="100">
        <f>MAX(0,-P396)</f>
        <v/>
      </c>
      <c r="S396" s="101">
        <f>IFERROR(J396/O396,0)</f>
        <v/>
      </c>
      <c r="T396" s="101">
        <f>IFERROR(I396/O396,0)</f>
        <v/>
      </c>
      <c r="U396" s="102">
        <f>IF(P396&lt;=K396,"Reorder Required","Stock Sufficient")</f>
        <v/>
      </c>
      <c r="V396" s="102">
        <f>IF(AND(Q396=M396,(U396="Reorder Required")=(N396="Reorder Required")),"OK","Mismatch")</f>
        <v/>
      </c>
      <c r="W396" s="99" t="inlineStr">
        <is>
          <t>Restock immediately</t>
        </is>
      </c>
    </row>
    <row r="397">
      <c r="A397" s="99" t="inlineStr">
        <is>
          <t>INV00396</t>
        </is>
      </c>
      <c r="B397" s="99" t="inlineStr">
        <is>
          <t>OUT008</t>
        </is>
      </c>
      <c r="C397" s="99">
        <f>INDEX(Lookup!$B$2:$B$11,MATCH(B397,Lookup!$A$2:$A$11,0))</f>
        <v/>
      </c>
      <c r="D397" s="99" t="inlineStr">
        <is>
          <t>BP046</t>
        </is>
      </c>
      <c r="E397" s="99">
        <f>INDEX(Lookup!$E$2:$E$51,MATCH(D397,Lookup!$D$2:$D$51,0))</f>
        <v/>
      </c>
      <c r="F397" s="99">
        <f>INDEX(Lookup!$F$2:$F$51,MATCH(D397,Lookup!$D$2:$D$51,0))</f>
        <v/>
      </c>
      <c r="G397" s="100" t="n">
        <v>109</v>
      </c>
      <c r="H397" s="100" t="n">
        <v>30</v>
      </c>
      <c r="I397" s="100" t="n">
        <v>59</v>
      </c>
      <c r="J397" s="100" t="n">
        <v>2</v>
      </c>
      <c r="K397" s="100" t="n">
        <v>34</v>
      </c>
      <c r="L397" s="100" t="n">
        <v>4</v>
      </c>
      <c r="M397" s="100" t="n">
        <v>78</v>
      </c>
      <c r="N397" s="99" t="inlineStr">
        <is>
          <t>Healthy</t>
        </is>
      </c>
      <c r="O397" s="100">
        <f>G397+H397</f>
        <v/>
      </c>
      <c r="P397" s="100">
        <f>G397+H397-I397-J397</f>
        <v/>
      </c>
      <c r="Q397" s="100">
        <f>MAX(0,P397)</f>
        <v/>
      </c>
      <c r="R397" s="100">
        <f>MAX(0,-P397)</f>
        <v/>
      </c>
      <c r="S397" s="101">
        <f>IFERROR(J397/O397,0)</f>
        <v/>
      </c>
      <c r="T397" s="101">
        <f>IFERROR(I397/O397,0)</f>
        <v/>
      </c>
      <c r="U397" s="102">
        <f>IF(P397&lt;=K397,"Reorder Required","Stock Sufficient")</f>
        <v/>
      </c>
      <c r="V397" s="102">
        <f>IF(AND(Q397=M397,(U397="Reorder Required")=(N397="Reorder Required")),"OK","Mismatch")</f>
        <v/>
      </c>
      <c r="W397" s="99" t="n"/>
    </row>
    <row r="398">
      <c r="A398" s="99" t="inlineStr">
        <is>
          <t>INV00397</t>
        </is>
      </c>
      <c r="B398" s="99" t="inlineStr">
        <is>
          <t>OUT008</t>
        </is>
      </c>
      <c r="C398" s="99">
        <f>INDEX(Lookup!$B$2:$B$11,MATCH(B398,Lookup!$A$2:$A$11,0))</f>
        <v/>
      </c>
      <c r="D398" s="99" t="inlineStr">
        <is>
          <t>BP047</t>
        </is>
      </c>
      <c r="E398" s="99">
        <f>INDEX(Lookup!$E$2:$E$51,MATCH(D398,Lookup!$D$2:$D$51,0))</f>
        <v/>
      </c>
      <c r="F398" s="99">
        <f>INDEX(Lookup!$F$2:$F$51,MATCH(D398,Lookup!$D$2:$D$51,0))</f>
        <v/>
      </c>
      <c r="G398" s="100" t="n">
        <v>146</v>
      </c>
      <c r="H398" s="100" t="n">
        <v>84</v>
      </c>
      <c r="I398" s="100" t="n">
        <v>125</v>
      </c>
      <c r="J398" s="100" t="n">
        <v>3</v>
      </c>
      <c r="K398" s="100" t="n">
        <v>25</v>
      </c>
      <c r="L398" s="100" t="n">
        <v>2</v>
      </c>
      <c r="M398" s="100" t="n">
        <v>102</v>
      </c>
      <c r="N398" s="99" t="inlineStr">
        <is>
          <t>Healthy</t>
        </is>
      </c>
      <c r="O398" s="100">
        <f>G398+H398</f>
        <v/>
      </c>
      <c r="P398" s="100">
        <f>G398+H398-I398-J398</f>
        <v/>
      </c>
      <c r="Q398" s="100">
        <f>MAX(0,P398)</f>
        <v/>
      </c>
      <c r="R398" s="100">
        <f>MAX(0,-P398)</f>
        <v/>
      </c>
      <c r="S398" s="101">
        <f>IFERROR(J398/O398,0)</f>
        <v/>
      </c>
      <c r="T398" s="101">
        <f>IFERROR(I398/O398,0)</f>
        <v/>
      </c>
      <c r="U398" s="102">
        <f>IF(P398&lt;=K398,"Reorder Required","Stock Sufficient")</f>
        <v/>
      </c>
      <c r="V398" s="102">
        <f>IF(AND(Q398=M398,(U398="Reorder Required")=(N398="Reorder Required")),"OK","Mismatch")</f>
        <v/>
      </c>
      <c r="W398" s="99" t="n"/>
    </row>
    <row r="399">
      <c r="A399" s="99" t="inlineStr">
        <is>
          <t>INV00398</t>
        </is>
      </c>
      <c r="B399" s="99" t="inlineStr">
        <is>
          <t>OUT008</t>
        </is>
      </c>
      <c r="C399" s="99">
        <f>INDEX(Lookup!$B$2:$B$11,MATCH(B399,Lookup!$A$2:$A$11,0))</f>
        <v/>
      </c>
      <c r="D399" s="99" t="inlineStr">
        <is>
          <t>BP048</t>
        </is>
      </c>
      <c r="E399" s="99">
        <f>INDEX(Lookup!$E$2:$E$51,MATCH(D399,Lookup!$D$2:$D$51,0))</f>
        <v/>
      </c>
      <c r="F399" s="99">
        <f>INDEX(Lookup!$F$2:$F$51,MATCH(D399,Lookup!$D$2:$D$51,0))</f>
        <v/>
      </c>
      <c r="G399" s="100" t="n">
        <v>85</v>
      </c>
      <c r="H399" s="100" t="n">
        <v>86</v>
      </c>
      <c r="I399" s="100" t="n">
        <v>76</v>
      </c>
      <c r="J399" s="100" t="n">
        <v>0</v>
      </c>
      <c r="K399" s="100" t="n">
        <v>37</v>
      </c>
      <c r="L399" s="100" t="n">
        <v>1</v>
      </c>
      <c r="M399" s="100" t="n">
        <v>95</v>
      </c>
      <c r="N399" s="99" t="inlineStr">
        <is>
          <t>Healthy</t>
        </is>
      </c>
      <c r="O399" s="100">
        <f>G399+H399</f>
        <v/>
      </c>
      <c r="P399" s="100">
        <f>G399+H399-I399-J399</f>
        <v/>
      </c>
      <c r="Q399" s="100">
        <f>MAX(0,P399)</f>
        <v/>
      </c>
      <c r="R399" s="100">
        <f>MAX(0,-P399)</f>
        <v/>
      </c>
      <c r="S399" s="101">
        <f>IFERROR(J399/O399,0)</f>
        <v/>
      </c>
      <c r="T399" s="101">
        <f>IFERROR(I399/O399,0)</f>
        <v/>
      </c>
      <c r="U399" s="102">
        <f>IF(P399&lt;=K399,"Reorder Required","Stock Sufficient")</f>
        <v/>
      </c>
      <c r="V399" s="102">
        <f>IF(AND(Q399=M399,(U399="Reorder Required")=(N399="Reorder Required")),"OK","Mismatch")</f>
        <v/>
      </c>
      <c r="W399" s="99" t="n"/>
    </row>
    <row r="400">
      <c r="A400" s="99" t="inlineStr">
        <is>
          <t>INV00399</t>
        </is>
      </c>
      <c r="B400" s="99" t="inlineStr">
        <is>
          <t>OUT008</t>
        </is>
      </c>
      <c r="C400" s="99">
        <f>INDEX(Lookup!$B$2:$B$11,MATCH(B400,Lookup!$A$2:$A$11,0))</f>
        <v/>
      </c>
      <c r="D400" s="99" t="inlineStr">
        <is>
          <t>BP049</t>
        </is>
      </c>
      <c r="E400" s="99">
        <f>INDEX(Lookup!$E$2:$E$51,MATCH(D400,Lookup!$D$2:$D$51,0))</f>
        <v/>
      </c>
      <c r="F400" s="99">
        <f>INDEX(Lookup!$F$2:$F$51,MATCH(D400,Lookup!$D$2:$D$51,0))</f>
        <v/>
      </c>
      <c r="G400" s="100" t="n">
        <v>105</v>
      </c>
      <c r="H400" s="100" t="n">
        <v>73</v>
      </c>
      <c r="I400" s="100" t="n">
        <v>57</v>
      </c>
      <c r="J400" s="100" t="n">
        <v>3</v>
      </c>
      <c r="K400" s="100" t="n">
        <v>16</v>
      </c>
      <c r="L400" s="100" t="n">
        <v>2</v>
      </c>
      <c r="M400" s="100" t="n">
        <v>118</v>
      </c>
      <c r="N400" s="99" t="inlineStr">
        <is>
          <t>Healthy</t>
        </is>
      </c>
      <c r="O400" s="100">
        <f>G400+H400</f>
        <v/>
      </c>
      <c r="P400" s="100">
        <f>G400+H400-I400-J400</f>
        <v/>
      </c>
      <c r="Q400" s="100">
        <f>MAX(0,P400)</f>
        <v/>
      </c>
      <c r="R400" s="100">
        <f>MAX(0,-P400)</f>
        <v/>
      </c>
      <c r="S400" s="101">
        <f>IFERROR(J400/O400,0)</f>
        <v/>
      </c>
      <c r="T400" s="101">
        <f>IFERROR(I400/O400,0)</f>
        <v/>
      </c>
      <c r="U400" s="102">
        <f>IF(P400&lt;=K400,"Reorder Required","Stock Sufficient")</f>
        <v/>
      </c>
      <c r="V400" s="102">
        <f>IF(AND(Q400=M400,(U400="Reorder Required")=(N400="Reorder Required")),"OK","Mismatch")</f>
        <v/>
      </c>
      <c r="W400" s="99" t="n"/>
    </row>
    <row r="401">
      <c r="A401" s="99" t="inlineStr">
        <is>
          <t>INV00400</t>
        </is>
      </c>
      <c r="B401" s="99" t="inlineStr">
        <is>
          <t>OUT008</t>
        </is>
      </c>
      <c r="C401" s="99">
        <f>INDEX(Lookup!$B$2:$B$11,MATCH(B401,Lookup!$A$2:$A$11,0))</f>
        <v/>
      </c>
      <c r="D401" s="99" t="inlineStr">
        <is>
          <t>BP050</t>
        </is>
      </c>
      <c r="E401" s="99">
        <f>INDEX(Lookup!$E$2:$E$51,MATCH(D401,Lookup!$D$2:$D$51,0))</f>
        <v/>
      </c>
      <c r="F401" s="99">
        <f>INDEX(Lookup!$F$2:$F$51,MATCH(D401,Lookup!$D$2:$D$51,0))</f>
        <v/>
      </c>
      <c r="G401" s="100" t="n">
        <v>83</v>
      </c>
      <c r="H401" s="100" t="n">
        <v>61</v>
      </c>
      <c r="I401" s="100" t="n">
        <v>110</v>
      </c>
      <c r="J401" s="100" t="n">
        <v>2</v>
      </c>
      <c r="K401" s="100" t="n">
        <v>25</v>
      </c>
      <c r="L401" s="100" t="n">
        <v>2</v>
      </c>
      <c r="M401" s="100" t="n">
        <v>32</v>
      </c>
      <c r="N401" s="99" t="inlineStr">
        <is>
          <t>Healthy</t>
        </is>
      </c>
      <c r="O401" s="100">
        <f>G401+H401</f>
        <v/>
      </c>
      <c r="P401" s="100">
        <f>G401+H401-I401-J401</f>
        <v/>
      </c>
      <c r="Q401" s="100">
        <f>MAX(0,P401)</f>
        <v/>
      </c>
      <c r="R401" s="100">
        <f>MAX(0,-P401)</f>
        <v/>
      </c>
      <c r="S401" s="101">
        <f>IFERROR(J401/O401,0)</f>
        <v/>
      </c>
      <c r="T401" s="101">
        <f>IFERROR(I401/O401,0)</f>
        <v/>
      </c>
      <c r="U401" s="102">
        <f>IF(P401&lt;=K401,"Reorder Required","Stock Sufficient")</f>
        <v/>
      </c>
      <c r="V401" s="102">
        <f>IF(AND(Q401=M401,(U401="Reorder Required")=(N401="Reorder Required")),"OK","Mismatch")</f>
        <v/>
      </c>
      <c r="W401" s="99" t="n"/>
    </row>
    <row r="402">
      <c r="A402" s="99" t="inlineStr">
        <is>
          <t>INV00401</t>
        </is>
      </c>
      <c r="B402" s="99" t="inlineStr">
        <is>
          <t>OUT009</t>
        </is>
      </c>
      <c r="C402" s="99">
        <f>INDEX(Lookup!$B$2:$B$11,MATCH(B402,Lookup!$A$2:$A$11,0))</f>
        <v/>
      </c>
      <c r="D402" s="99" t="inlineStr">
        <is>
          <t>BP001</t>
        </is>
      </c>
      <c r="E402" s="99">
        <f>INDEX(Lookup!$E$2:$E$51,MATCH(D402,Lookup!$D$2:$D$51,0))</f>
        <v/>
      </c>
      <c r="F402" s="99">
        <f>INDEX(Lookup!$F$2:$F$51,MATCH(D402,Lookup!$D$2:$D$51,0))</f>
        <v/>
      </c>
      <c r="G402" s="100" t="n">
        <v>66</v>
      </c>
      <c r="H402" s="100" t="n">
        <v>37</v>
      </c>
      <c r="I402" s="100" t="n">
        <v>94</v>
      </c>
      <c r="J402" s="100" t="n">
        <v>0</v>
      </c>
      <c r="K402" s="100" t="n">
        <v>30</v>
      </c>
      <c r="L402" s="100" t="n">
        <v>1</v>
      </c>
      <c r="M402" s="100" t="n">
        <v>9</v>
      </c>
      <c r="N402" s="99" t="inlineStr">
        <is>
          <t>Reorder Required</t>
        </is>
      </c>
      <c r="O402" s="100">
        <f>G402+H402</f>
        <v/>
      </c>
      <c r="P402" s="100">
        <f>G402+H402-I402-J402</f>
        <v/>
      </c>
      <c r="Q402" s="100">
        <f>MAX(0,P402)</f>
        <v/>
      </c>
      <c r="R402" s="100">
        <f>MAX(0,-P402)</f>
        <v/>
      </c>
      <c r="S402" s="101">
        <f>IFERROR(J402/O402,0)</f>
        <v/>
      </c>
      <c r="T402" s="101">
        <f>IFERROR(I402/O402,0)</f>
        <v/>
      </c>
      <c r="U402" s="102">
        <f>IF(P402&lt;=K402,"Reorder Required","Stock Sufficient")</f>
        <v/>
      </c>
      <c r="V402" s="102">
        <f>IF(AND(Q402=M402,(U402="Reorder Required")=(N402="Reorder Required")),"OK","Mismatch")</f>
        <v/>
      </c>
      <c r="W402" s="99" t="inlineStr">
        <is>
          <t>Restock immediately</t>
        </is>
      </c>
    </row>
    <row r="403">
      <c r="A403" s="99" t="inlineStr">
        <is>
          <t>INV00402</t>
        </is>
      </c>
      <c r="B403" s="99" t="inlineStr">
        <is>
          <t>OUT009</t>
        </is>
      </c>
      <c r="C403" s="99">
        <f>INDEX(Lookup!$B$2:$B$11,MATCH(B403,Lookup!$A$2:$A$11,0))</f>
        <v/>
      </c>
      <c r="D403" s="99" t="inlineStr">
        <is>
          <t>BP002</t>
        </is>
      </c>
      <c r="E403" s="99">
        <f>INDEX(Lookup!$E$2:$E$51,MATCH(D403,Lookup!$D$2:$D$51,0))</f>
        <v/>
      </c>
      <c r="F403" s="99">
        <f>INDEX(Lookup!$F$2:$F$51,MATCH(D403,Lookup!$D$2:$D$51,0))</f>
        <v/>
      </c>
      <c r="G403" s="100" t="n">
        <v>74</v>
      </c>
      <c r="H403" s="100" t="n">
        <v>32</v>
      </c>
      <c r="I403" s="100" t="n">
        <v>96</v>
      </c>
      <c r="J403" s="100" t="n">
        <v>1</v>
      </c>
      <c r="K403" s="100" t="n">
        <v>30</v>
      </c>
      <c r="L403" s="100" t="n">
        <v>5</v>
      </c>
      <c r="M403" s="100" t="n">
        <v>9</v>
      </c>
      <c r="N403" s="99" t="inlineStr">
        <is>
          <t>Reorder Required</t>
        </is>
      </c>
      <c r="O403" s="100">
        <f>G403+H403</f>
        <v/>
      </c>
      <c r="P403" s="100">
        <f>G403+H403-I403-J403</f>
        <v/>
      </c>
      <c r="Q403" s="100">
        <f>MAX(0,P403)</f>
        <v/>
      </c>
      <c r="R403" s="100">
        <f>MAX(0,-P403)</f>
        <v/>
      </c>
      <c r="S403" s="101">
        <f>IFERROR(J403/O403,0)</f>
        <v/>
      </c>
      <c r="T403" s="101">
        <f>IFERROR(I403/O403,0)</f>
        <v/>
      </c>
      <c r="U403" s="102">
        <f>IF(P403&lt;=K403,"Reorder Required","Stock Sufficient")</f>
        <v/>
      </c>
      <c r="V403" s="102">
        <f>IF(AND(Q403=M403,(U403="Reorder Required")=(N403="Reorder Required")),"OK","Mismatch")</f>
        <v/>
      </c>
      <c r="W403" s="99" t="inlineStr">
        <is>
          <t>Restock immediately</t>
        </is>
      </c>
    </row>
    <row r="404">
      <c r="A404" s="99" t="inlineStr">
        <is>
          <t>INV00403</t>
        </is>
      </c>
      <c r="B404" s="99" t="inlineStr">
        <is>
          <t>OUT009</t>
        </is>
      </c>
      <c r="C404" s="99">
        <f>INDEX(Lookup!$B$2:$B$11,MATCH(B404,Lookup!$A$2:$A$11,0))</f>
        <v/>
      </c>
      <c r="D404" s="99" t="inlineStr">
        <is>
          <t>BP003</t>
        </is>
      </c>
      <c r="E404" s="99">
        <f>INDEX(Lookup!$E$2:$E$51,MATCH(D404,Lookup!$D$2:$D$51,0))</f>
        <v/>
      </c>
      <c r="F404" s="99">
        <f>INDEX(Lookup!$F$2:$F$51,MATCH(D404,Lookup!$D$2:$D$51,0))</f>
        <v/>
      </c>
      <c r="G404" s="100" t="n">
        <v>88</v>
      </c>
      <c r="H404" s="100" t="n">
        <v>83</v>
      </c>
      <c r="I404" s="100" t="n">
        <v>134</v>
      </c>
      <c r="J404" s="100" t="n">
        <v>0</v>
      </c>
      <c r="K404" s="100" t="n">
        <v>29</v>
      </c>
      <c r="L404" s="100" t="n">
        <v>3</v>
      </c>
      <c r="M404" s="100" t="n">
        <v>37</v>
      </c>
      <c r="N404" s="99" t="inlineStr">
        <is>
          <t>Healthy</t>
        </is>
      </c>
      <c r="O404" s="100">
        <f>G404+H404</f>
        <v/>
      </c>
      <c r="P404" s="100">
        <f>G404+H404-I404-J404</f>
        <v/>
      </c>
      <c r="Q404" s="100">
        <f>MAX(0,P404)</f>
        <v/>
      </c>
      <c r="R404" s="100">
        <f>MAX(0,-P404)</f>
        <v/>
      </c>
      <c r="S404" s="101">
        <f>IFERROR(J404/O404,0)</f>
        <v/>
      </c>
      <c r="T404" s="101">
        <f>IFERROR(I404/O404,0)</f>
        <v/>
      </c>
      <c r="U404" s="102">
        <f>IF(P404&lt;=K404,"Reorder Required","Stock Sufficient")</f>
        <v/>
      </c>
      <c r="V404" s="102">
        <f>IF(AND(Q404=M404,(U404="Reorder Required")=(N404="Reorder Required")),"OK","Mismatch")</f>
        <v/>
      </c>
      <c r="W404" s="99" t="n"/>
    </row>
    <row r="405">
      <c r="A405" s="99" t="inlineStr">
        <is>
          <t>INV00404</t>
        </is>
      </c>
      <c r="B405" s="99" t="inlineStr">
        <is>
          <t>OUT009</t>
        </is>
      </c>
      <c r="C405" s="99">
        <f>INDEX(Lookup!$B$2:$B$11,MATCH(B405,Lookup!$A$2:$A$11,0))</f>
        <v/>
      </c>
      <c r="D405" s="99" t="inlineStr">
        <is>
          <t>BP004</t>
        </is>
      </c>
      <c r="E405" s="99">
        <f>INDEX(Lookup!$E$2:$E$51,MATCH(D405,Lookup!$D$2:$D$51,0))</f>
        <v/>
      </c>
      <c r="F405" s="99">
        <f>INDEX(Lookup!$F$2:$F$51,MATCH(D405,Lookup!$D$2:$D$51,0))</f>
        <v/>
      </c>
      <c r="G405" s="100" t="n">
        <v>103</v>
      </c>
      <c r="H405" s="100" t="n">
        <v>20</v>
      </c>
      <c r="I405" s="100" t="n">
        <v>38</v>
      </c>
      <c r="J405" s="100" t="n">
        <v>3</v>
      </c>
      <c r="K405" s="100" t="n">
        <v>30</v>
      </c>
      <c r="L405" s="100" t="n">
        <v>3</v>
      </c>
      <c r="M405" s="100" t="n">
        <v>82</v>
      </c>
      <c r="N405" s="99" t="inlineStr">
        <is>
          <t>Healthy</t>
        </is>
      </c>
      <c r="O405" s="100">
        <f>G405+H405</f>
        <v/>
      </c>
      <c r="P405" s="100">
        <f>G405+H405-I405-J405</f>
        <v/>
      </c>
      <c r="Q405" s="100">
        <f>MAX(0,P405)</f>
        <v/>
      </c>
      <c r="R405" s="100">
        <f>MAX(0,-P405)</f>
        <v/>
      </c>
      <c r="S405" s="101">
        <f>IFERROR(J405/O405,0)</f>
        <v/>
      </c>
      <c r="T405" s="101">
        <f>IFERROR(I405/O405,0)</f>
        <v/>
      </c>
      <c r="U405" s="102">
        <f>IF(P405&lt;=K405,"Reorder Required","Stock Sufficient")</f>
        <v/>
      </c>
      <c r="V405" s="102">
        <f>IF(AND(Q405=M405,(U405="Reorder Required")=(N405="Reorder Required")),"OK","Mismatch")</f>
        <v/>
      </c>
      <c r="W405" s="99" t="n"/>
    </row>
    <row r="406">
      <c r="A406" s="99" t="inlineStr">
        <is>
          <t>INV00405</t>
        </is>
      </c>
      <c r="B406" s="99" t="inlineStr">
        <is>
          <t>OUT009</t>
        </is>
      </c>
      <c r="C406" s="99">
        <f>INDEX(Lookup!$B$2:$B$11,MATCH(B406,Lookup!$A$2:$A$11,0))</f>
        <v/>
      </c>
      <c r="D406" s="99" t="inlineStr">
        <is>
          <t>BP005</t>
        </is>
      </c>
      <c r="E406" s="99">
        <f>INDEX(Lookup!$E$2:$E$51,MATCH(D406,Lookup!$D$2:$D$51,0))</f>
        <v/>
      </c>
      <c r="F406" s="99">
        <f>INDEX(Lookup!$F$2:$F$51,MATCH(D406,Lookup!$D$2:$D$51,0))</f>
        <v/>
      </c>
      <c r="G406" s="100" t="n">
        <v>139</v>
      </c>
      <c r="H406" s="100" t="n">
        <v>69</v>
      </c>
      <c r="I406" s="100" t="n">
        <v>92</v>
      </c>
      <c r="J406" s="100" t="n">
        <v>1</v>
      </c>
      <c r="K406" s="100" t="n">
        <v>40</v>
      </c>
      <c r="L406" s="100" t="n">
        <v>5</v>
      </c>
      <c r="M406" s="100" t="n">
        <v>115</v>
      </c>
      <c r="N406" s="99" t="inlineStr">
        <is>
          <t>Healthy</t>
        </is>
      </c>
      <c r="O406" s="100">
        <f>G406+H406</f>
        <v/>
      </c>
      <c r="P406" s="100">
        <f>G406+H406-I406-J406</f>
        <v/>
      </c>
      <c r="Q406" s="100">
        <f>MAX(0,P406)</f>
        <v/>
      </c>
      <c r="R406" s="100">
        <f>MAX(0,-P406)</f>
        <v/>
      </c>
      <c r="S406" s="101">
        <f>IFERROR(J406/O406,0)</f>
        <v/>
      </c>
      <c r="T406" s="101">
        <f>IFERROR(I406/O406,0)</f>
        <v/>
      </c>
      <c r="U406" s="102">
        <f>IF(P406&lt;=K406,"Reorder Required","Stock Sufficient")</f>
        <v/>
      </c>
      <c r="V406" s="102">
        <f>IF(AND(Q406=M406,(U406="Reorder Required")=(N406="Reorder Required")),"OK","Mismatch")</f>
        <v/>
      </c>
      <c r="W406" s="99" t="n"/>
    </row>
    <row r="407">
      <c r="A407" s="99" t="inlineStr">
        <is>
          <t>INV00406</t>
        </is>
      </c>
      <c r="B407" s="99" t="inlineStr">
        <is>
          <t>OUT009</t>
        </is>
      </c>
      <c r="C407" s="99">
        <f>INDEX(Lookup!$B$2:$B$11,MATCH(B407,Lookup!$A$2:$A$11,0))</f>
        <v/>
      </c>
      <c r="D407" s="99" t="inlineStr">
        <is>
          <t>BP006</t>
        </is>
      </c>
      <c r="E407" s="99">
        <f>INDEX(Lookup!$E$2:$E$51,MATCH(D407,Lookup!$D$2:$D$51,0))</f>
        <v/>
      </c>
      <c r="F407" s="99">
        <f>INDEX(Lookup!$F$2:$F$51,MATCH(D407,Lookup!$D$2:$D$51,0))</f>
        <v/>
      </c>
      <c r="G407" s="100" t="n">
        <v>67</v>
      </c>
      <c r="H407" s="100" t="n">
        <v>73</v>
      </c>
      <c r="I407" s="100" t="n">
        <v>37</v>
      </c>
      <c r="J407" s="100" t="n">
        <v>0</v>
      </c>
      <c r="K407" s="100" t="n">
        <v>27</v>
      </c>
      <c r="L407" s="100" t="n">
        <v>3</v>
      </c>
      <c r="M407" s="100" t="n">
        <v>103</v>
      </c>
      <c r="N407" s="99" t="inlineStr">
        <is>
          <t>Healthy</t>
        </is>
      </c>
      <c r="O407" s="100">
        <f>G407+H407</f>
        <v/>
      </c>
      <c r="P407" s="100">
        <f>G407+H407-I407-J407</f>
        <v/>
      </c>
      <c r="Q407" s="100">
        <f>MAX(0,P407)</f>
        <v/>
      </c>
      <c r="R407" s="100">
        <f>MAX(0,-P407)</f>
        <v/>
      </c>
      <c r="S407" s="101">
        <f>IFERROR(J407/O407,0)</f>
        <v/>
      </c>
      <c r="T407" s="101">
        <f>IFERROR(I407/O407,0)</f>
        <v/>
      </c>
      <c r="U407" s="102">
        <f>IF(P407&lt;=K407,"Reorder Required","Stock Sufficient")</f>
        <v/>
      </c>
      <c r="V407" s="102">
        <f>IF(AND(Q407=M407,(U407="Reorder Required")=(N407="Reorder Required")),"OK","Mismatch")</f>
        <v/>
      </c>
      <c r="W407" s="99" t="n"/>
    </row>
    <row r="408">
      <c r="A408" s="99" t="inlineStr">
        <is>
          <t>INV00407</t>
        </is>
      </c>
      <c r="B408" s="99" t="inlineStr">
        <is>
          <t>OUT009</t>
        </is>
      </c>
      <c r="C408" s="99">
        <f>INDEX(Lookup!$B$2:$B$11,MATCH(B408,Lookup!$A$2:$A$11,0))</f>
        <v/>
      </c>
      <c r="D408" s="99" t="inlineStr">
        <is>
          <t>BP007</t>
        </is>
      </c>
      <c r="E408" s="99">
        <f>INDEX(Lookup!$E$2:$E$51,MATCH(D408,Lookup!$D$2:$D$51,0))</f>
        <v/>
      </c>
      <c r="F408" s="99">
        <f>INDEX(Lookup!$F$2:$F$51,MATCH(D408,Lookup!$D$2:$D$51,0))</f>
        <v/>
      </c>
      <c r="G408" s="100" t="n">
        <v>42</v>
      </c>
      <c r="H408" s="100" t="n">
        <v>64</v>
      </c>
      <c r="I408" s="100" t="n">
        <v>48</v>
      </c>
      <c r="J408" s="100" t="n">
        <v>0</v>
      </c>
      <c r="K408" s="100" t="n">
        <v>38</v>
      </c>
      <c r="L408" s="100" t="n">
        <v>5</v>
      </c>
      <c r="M408" s="100" t="n">
        <v>58</v>
      </c>
      <c r="N408" s="99" t="inlineStr">
        <is>
          <t>Healthy</t>
        </is>
      </c>
      <c r="O408" s="100">
        <f>G408+H408</f>
        <v/>
      </c>
      <c r="P408" s="100">
        <f>G408+H408-I408-J408</f>
        <v/>
      </c>
      <c r="Q408" s="100">
        <f>MAX(0,P408)</f>
        <v/>
      </c>
      <c r="R408" s="100">
        <f>MAX(0,-P408)</f>
        <v/>
      </c>
      <c r="S408" s="101">
        <f>IFERROR(J408/O408,0)</f>
        <v/>
      </c>
      <c r="T408" s="101">
        <f>IFERROR(I408/O408,0)</f>
        <v/>
      </c>
      <c r="U408" s="102">
        <f>IF(P408&lt;=K408,"Reorder Required","Stock Sufficient")</f>
        <v/>
      </c>
      <c r="V408" s="102">
        <f>IF(AND(Q408=M408,(U408="Reorder Required")=(N408="Reorder Required")),"OK","Mismatch")</f>
        <v/>
      </c>
      <c r="W408" s="99" t="n"/>
    </row>
    <row r="409">
      <c r="A409" s="99" t="inlineStr">
        <is>
          <t>INV00408</t>
        </is>
      </c>
      <c r="B409" s="99" t="inlineStr">
        <is>
          <t>OUT009</t>
        </is>
      </c>
      <c r="C409" s="99">
        <f>INDEX(Lookup!$B$2:$B$11,MATCH(B409,Lookup!$A$2:$A$11,0))</f>
        <v/>
      </c>
      <c r="D409" s="99" t="inlineStr">
        <is>
          <t>BP008</t>
        </is>
      </c>
      <c r="E409" s="99">
        <f>INDEX(Lookup!$E$2:$E$51,MATCH(D409,Lookup!$D$2:$D$51,0))</f>
        <v/>
      </c>
      <c r="F409" s="99">
        <f>INDEX(Lookup!$F$2:$F$51,MATCH(D409,Lookup!$D$2:$D$51,0))</f>
        <v/>
      </c>
      <c r="G409" s="100" t="n">
        <v>78</v>
      </c>
      <c r="H409" s="100" t="n">
        <v>21</v>
      </c>
      <c r="I409" s="100" t="n">
        <v>77</v>
      </c>
      <c r="J409" s="100" t="n">
        <v>2</v>
      </c>
      <c r="K409" s="100" t="n">
        <v>34</v>
      </c>
      <c r="L409" s="100" t="n">
        <v>2</v>
      </c>
      <c r="M409" s="100" t="n">
        <v>20</v>
      </c>
      <c r="N409" s="99" t="inlineStr">
        <is>
          <t>Reorder Required</t>
        </is>
      </c>
      <c r="O409" s="100">
        <f>G409+H409</f>
        <v/>
      </c>
      <c r="P409" s="100">
        <f>G409+H409-I409-J409</f>
        <v/>
      </c>
      <c r="Q409" s="100">
        <f>MAX(0,P409)</f>
        <v/>
      </c>
      <c r="R409" s="100">
        <f>MAX(0,-P409)</f>
        <v/>
      </c>
      <c r="S409" s="101">
        <f>IFERROR(J409/O409,0)</f>
        <v/>
      </c>
      <c r="T409" s="101">
        <f>IFERROR(I409/O409,0)</f>
        <v/>
      </c>
      <c r="U409" s="102">
        <f>IF(P409&lt;=K409,"Reorder Required","Stock Sufficient")</f>
        <v/>
      </c>
      <c r="V409" s="102">
        <f>IF(AND(Q409=M409,(U409="Reorder Required")=(N409="Reorder Required")),"OK","Mismatch")</f>
        <v/>
      </c>
      <c r="W409" s="99" t="inlineStr">
        <is>
          <t>Restock immediately</t>
        </is>
      </c>
    </row>
    <row r="410">
      <c r="A410" s="99" t="inlineStr">
        <is>
          <t>INV00409</t>
        </is>
      </c>
      <c r="B410" s="99" t="inlineStr">
        <is>
          <t>OUT009</t>
        </is>
      </c>
      <c r="C410" s="99">
        <f>INDEX(Lookup!$B$2:$B$11,MATCH(B410,Lookup!$A$2:$A$11,0))</f>
        <v/>
      </c>
      <c r="D410" s="99" t="inlineStr">
        <is>
          <t>BP009</t>
        </is>
      </c>
      <c r="E410" s="99">
        <f>INDEX(Lookup!$E$2:$E$51,MATCH(D410,Lookup!$D$2:$D$51,0))</f>
        <v/>
      </c>
      <c r="F410" s="99">
        <f>INDEX(Lookup!$F$2:$F$51,MATCH(D410,Lookup!$D$2:$D$51,0))</f>
        <v/>
      </c>
      <c r="G410" s="100" t="n">
        <v>51</v>
      </c>
      <c r="H410" s="100" t="n">
        <v>30</v>
      </c>
      <c r="I410" s="100" t="n">
        <v>80</v>
      </c>
      <c r="J410" s="100" t="n">
        <v>1</v>
      </c>
      <c r="K410" s="100" t="n">
        <v>22</v>
      </c>
      <c r="L410" s="100" t="n">
        <v>3</v>
      </c>
      <c r="M410" s="100" t="n">
        <v>0</v>
      </c>
      <c r="N410" s="99" t="inlineStr">
        <is>
          <t>Reorder Required</t>
        </is>
      </c>
      <c r="O410" s="100">
        <f>G410+H410</f>
        <v/>
      </c>
      <c r="P410" s="100">
        <f>G410+H410-I410-J410</f>
        <v/>
      </c>
      <c r="Q410" s="100">
        <f>MAX(0,P410)</f>
        <v/>
      </c>
      <c r="R410" s="100">
        <f>MAX(0,-P410)</f>
        <v/>
      </c>
      <c r="S410" s="101">
        <f>IFERROR(J410/O410,0)</f>
        <v/>
      </c>
      <c r="T410" s="101">
        <f>IFERROR(I410/O410,0)</f>
        <v/>
      </c>
      <c r="U410" s="102">
        <f>IF(P410&lt;=K410,"Reorder Required","Stock Sufficient")</f>
        <v/>
      </c>
      <c r="V410" s="102">
        <f>IF(AND(Q410=M410,(U410="Reorder Required")=(N410="Reorder Required")),"OK","Mismatch")</f>
        <v/>
      </c>
      <c r="W410" s="99" t="inlineStr">
        <is>
          <t>Restock immediately</t>
        </is>
      </c>
    </row>
    <row r="411">
      <c r="A411" s="99" t="inlineStr">
        <is>
          <t>INV00410</t>
        </is>
      </c>
      <c r="B411" s="99" t="inlineStr">
        <is>
          <t>OUT009</t>
        </is>
      </c>
      <c r="C411" s="99">
        <f>INDEX(Lookup!$B$2:$B$11,MATCH(B411,Lookup!$A$2:$A$11,0))</f>
        <v/>
      </c>
      <c r="D411" s="99" t="inlineStr">
        <is>
          <t>BP010</t>
        </is>
      </c>
      <c r="E411" s="99">
        <f>INDEX(Lookup!$E$2:$E$51,MATCH(D411,Lookup!$D$2:$D$51,0))</f>
        <v/>
      </c>
      <c r="F411" s="99">
        <f>INDEX(Lookup!$F$2:$F$51,MATCH(D411,Lookup!$D$2:$D$51,0))</f>
        <v/>
      </c>
      <c r="G411" s="100" t="n">
        <v>137</v>
      </c>
      <c r="H411" s="100" t="n">
        <v>57</v>
      </c>
      <c r="I411" s="100" t="n">
        <v>54</v>
      </c>
      <c r="J411" s="100" t="n">
        <v>2</v>
      </c>
      <c r="K411" s="100" t="n">
        <v>16</v>
      </c>
      <c r="L411" s="100" t="n">
        <v>2</v>
      </c>
      <c r="M411" s="100" t="n">
        <v>138</v>
      </c>
      <c r="N411" s="99" t="inlineStr">
        <is>
          <t>Healthy</t>
        </is>
      </c>
      <c r="O411" s="100">
        <f>G411+H411</f>
        <v/>
      </c>
      <c r="P411" s="100">
        <f>G411+H411-I411-J411</f>
        <v/>
      </c>
      <c r="Q411" s="100">
        <f>MAX(0,P411)</f>
        <v/>
      </c>
      <c r="R411" s="100">
        <f>MAX(0,-P411)</f>
        <v/>
      </c>
      <c r="S411" s="101">
        <f>IFERROR(J411/O411,0)</f>
        <v/>
      </c>
      <c r="T411" s="101">
        <f>IFERROR(I411/O411,0)</f>
        <v/>
      </c>
      <c r="U411" s="102">
        <f>IF(P411&lt;=K411,"Reorder Required","Stock Sufficient")</f>
        <v/>
      </c>
      <c r="V411" s="102">
        <f>IF(AND(Q411=M411,(U411="Reorder Required")=(N411="Reorder Required")),"OK","Mismatch")</f>
        <v/>
      </c>
      <c r="W411" s="99" t="n"/>
    </row>
    <row r="412">
      <c r="A412" s="99" t="inlineStr">
        <is>
          <t>INV00411</t>
        </is>
      </c>
      <c r="B412" s="99" t="inlineStr">
        <is>
          <t>OUT009</t>
        </is>
      </c>
      <c r="C412" s="99">
        <f>INDEX(Lookup!$B$2:$B$11,MATCH(B412,Lookup!$A$2:$A$11,0))</f>
        <v/>
      </c>
      <c r="D412" s="99" t="inlineStr">
        <is>
          <t>BP011</t>
        </is>
      </c>
      <c r="E412" s="99">
        <f>INDEX(Lookup!$E$2:$E$51,MATCH(D412,Lookup!$D$2:$D$51,0))</f>
        <v/>
      </c>
      <c r="F412" s="99">
        <f>INDEX(Lookup!$F$2:$F$51,MATCH(D412,Lookup!$D$2:$D$51,0))</f>
        <v/>
      </c>
      <c r="G412" s="100" t="n">
        <v>93</v>
      </c>
      <c r="H412" s="100" t="n">
        <v>92</v>
      </c>
      <c r="I412" s="100" t="n">
        <v>109</v>
      </c>
      <c r="J412" s="100" t="n">
        <v>1</v>
      </c>
      <c r="K412" s="100" t="n">
        <v>29</v>
      </c>
      <c r="L412" s="100" t="n">
        <v>5</v>
      </c>
      <c r="M412" s="100" t="n">
        <v>75</v>
      </c>
      <c r="N412" s="99" t="inlineStr">
        <is>
          <t>Healthy</t>
        </is>
      </c>
      <c r="O412" s="100">
        <f>G412+H412</f>
        <v/>
      </c>
      <c r="P412" s="100">
        <f>G412+H412-I412-J412</f>
        <v/>
      </c>
      <c r="Q412" s="100">
        <f>MAX(0,P412)</f>
        <v/>
      </c>
      <c r="R412" s="100">
        <f>MAX(0,-P412)</f>
        <v/>
      </c>
      <c r="S412" s="101">
        <f>IFERROR(J412/O412,0)</f>
        <v/>
      </c>
      <c r="T412" s="101">
        <f>IFERROR(I412/O412,0)</f>
        <v/>
      </c>
      <c r="U412" s="102">
        <f>IF(P412&lt;=K412,"Reorder Required","Stock Sufficient")</f>
        <v/>
      </c>
      <c r="V412" s="102">
        <f>IF(AND(Q412=M412,(U412="Reorder Required")=(N412="Reorder Required")),"OK","Mismatch")</f>
        <v/>
      </c>
      <c r="W412" s="99" t="n"/>
    </row>
    <row r="413">
      <c r="A413" s="99" t="inlineStr">
        <is>
          <t>INV00412</t>
        </is>
      </c>
      <c r="B413" s="99" t="inlineStr">
        <is>
          <t>OUT009</t>
        </is>
      </c>
      <c r="C413" s="99">
        <f>INDEX(Lookup!$B$2:$B$11,MATCH(B413,Lookup!$A$2:$A$11,0))</f>
        <v/>
      </c>
      <c r="D413" s="99" t="inlineStr">
        <is>
          <t>BP012</t>
        </is>
      </c>
      <c r="E413" s="99">
        <f>INDEX(Lookup!$E$2:$E$51,MATCH(D413,Lookup!$D$2:$D$51,0))</f>
        <v/>
      </c>
      <c r="F413" s="99">
        <f>INDEX(Lookup!$F$2:$F$51,MATCH(D413,Lookup!$D$2:$D$51,0))</f>
        <v/>
      </c>
      <c r="G413" s="100" t="n">
        <v>57</v>
      </c>
      <c r="H413" s="100" t="n">
        <v>67</v>
      </c>
      <c r="I413" s="100" t="n">
        <v>116</v>
      </c>
      <c r="J413" s="100" t="n">
        <v>3</v>
      </c>
      <c r="K413" s="100" t="n">
        <v>34</v>
      </c>
      <c r="L413" s="100" t="n">
        <v>4</v>
      </c>
      <c r="M413" s="100" t="n">
        <v>5</v>
      </c>
      <c r="N413" s="99" t="inlineStr">
        <is>
          <t>Reorder Required</t>
        </is>
      </c>
      <c r="O413" s="100">
        <f>G413+H413</f>
        <v/>
      </c>
      <c r="P413" s="100">
        <f>G413+H413-I413-J413</f>
        <v/>
      </c>
      <c r="Q413" s="100">
        <f>MAX(0,P413)</f>
        <v/>
      </c>
      <c r="R413" s="100">
        <f>MAX(0,-P413)</f>
        <v/>
      </c>
      <c r="S413" s="101">
        <f>IFERROR(J413/O413,0)</f>
        <v/>
      </c>
      <c r="T413" s="101">
        <f>IFERROR(I413/O413,0)</f>
        <v/>
      </c>
      <c r="U413" s="102">
        <f>IF(P413&lt;=K413,"Reorder Required","Stock Sufficient")</f>
        <v/>
      </c>
      <c r="V413" s="102">
        <f>IF(AND(Q413=M413,(U413="Reorder Required")=(N413="Reorder Required")),"OK","Mismatch")</f>
        <v/>
      </c>
      <c r="W413" s="99" t="inlineStr">
        <is>
          <t>Restock immediately</t>
        </is>
      </c>
    </row>
    <row r="414">
      <c r="A414" s="99" t="inlineStr">
        <is>
          <t>INV00413</t>
        </is>
      </c>
      <c r="B414" s="99" t="inlineStr">
        <is>
          <t>OUT009</t>
        </is>
      </c>
      <c r="C414" s="99">
        <f>INDEX(Lookup!$B$2:$B$11,MATCH(B414,Lookup!$A$2:$A$11,0))</f>
        <v/>
      </c>
      <c r="D414" s="99" t="inlineStr">
        <is>
          <t>BP013</t>
        </is>
      </c>
      <c r="E414" s="99">
        <f>INDEX(Lookup!$E$2:$E$51,MATCH(D414,Lookup!$D$2:$D$51,0))</f>
        <v/>
      </c>
      <c r="F414" s="99">
        <f>INDEX(Lookup!$F$2:$F$51,MATCH(D414,Lookup!$D$2:$D$51,0))</f>
        <v/>
      </c>
      <c r="G414" s="100" t="n">
        <v>106</v>
      </c>
      <c r="H414" s="100" t="n">
        <v>56</v>
      </c>
      <c r="I414" s="100" t="n">
        <v>113</v>
      </c>
      <c r="J414" s="100" t="n">
        <v>2</v>
      </c>
      <c r="K414" s="100" t="n">
        <v>39</v>
      </c>
      <c r="L414" s="100" t="n">
        <v>2</v>
      </c>
      <c r="M414" s="100" t="n">
        <v>47</v>
      </c>
      <c r="N414" s="99" t="inlineStr">
        <is>
          <t>Healthy</t>
        </is>
      </c>
      <c r="O414" s="100">
        <f>G414+H414</f>
        <v/>
      </c>
      <c r="P414" s="100">
        <f>G414+H414-I414-J414</f>
        <v/>
      </c>
      <c r="Q414" s="100">
        <f>MAX(0,P414)</f>
        <v/>
      </c>
      <c r="R414" s="100">
        <f>MAX(0,-P414)</f>
        <v/>
      </c>
      <c r="S414" s="101">
        <f>IFERROR(J414/O414,0)</f>
        <v/>
      </c>
      <c r="T414" s="101">
        <f>IFERROR(I414/O414,0)</f>
        <v/>
      </c>
      <c r="U414" s="102">
        <f>IF(P414&lt;=K414,"Reorder Required","Stock Sufficient")</f>
        <v/>
      </c>
      <c r="V414" s="102">
        <f>IF(AND(Q414=M414,(U414="Reorder Required")=(N414="Reorder Required")),"OK","Mismatch")</f>
        <v/>
      </c>
      <c r="W414" s="99" t="n"/>
    </row>
    <row r="415">
      <c r="A415" s="99" t="inlineStr">
        <is>
          <t>INV00414</t>
        </is>
      </c>
      <c r="B415" s="99" t="inlineStr">
        <is>
          <t>OUT009</t>
        </is>
      </c>
      <c r="C415" s="99">
        <f>INDEX(Lookup!$B$2:$B$11,MATCH(B415,Lookup!$A$2:$A$11,0))</f>
        <v/>
      </c>
      <c r="D415" s="99" t="inlineStr">
        <is>
          <t>BP014</t>
        </is>
      </c>
      <c r="E415" s="99">
        <f>INDEX(Lookup!$E$2:$E$51,MATCH(D415,Lookup!$D$2:$D$51,0))</f>
        <v/>
      </c>
      <c r="F415" s="99">
        <f>INDEX(Lookup!$F$2:$F$51,MATCH(D415,Lookup!$D$2:$D$51,0))</f>
        <v/>
      </c>
      <c r="G415" s="100" t="n">
        <v>109</v>
      </c>
      <c r="H415" s="100" t="n">
        <v>46</v>
      </c>
      <c r="I415" s="100" t="n">
        <v>117</v>
      </c>
      <c r="J415" s="100" t="n">
        <v>0</v>
      </c>
      <c r="K415" s="100" t="n">
        <v>24</v>
      </c>
      <c r="L415" s="100" t="n">
        <v>2</v>
      </c>
      <c r="M415" s="100" t="n">
        <v>38</v>
      </c>
      <c r="N415" s="99" t="inlineStr">
        <is>
          <t>Healthy</t>
        </is>
      </c>
      <c r="O415" s="100">
        <f>G415+H415</f>
        <v/>
      </c>
      <c r="P415" s="100">
        <f>G415+H415-I415-J415</f>
        <v/>
      </c>
      <c r="Q415" s="100">
        <f>MAX(0,P415)</f>
        <v/>
      </c>
      <c r="R415" s="100">
        <f>MAX(0,-P415)</f>
        <v/>
      </c>
      <c r="S415" s="101">
        <f>IFERROR(J415/O415,0)</f>
        <v/>
      </c>
      <c r="T415" s="101">
        <f>IFERROR(I415/O415,0)</f>
        <v/>
      </c>
      <c r="U415" s="102">
        <f>IF(P415&lt;=K415,"Reorder Required","Stock Sufficient")</f>
        <v/>
      </c>
      <c r="V415" s="102">
        <f>IF(AND(Q415=M415,(U415="Reorder Required")=(N415="Reorder Required")),"OK","Mismatch")</f>
        <v/>
      </c>
      <c r="W415" s="99" t="n"/>
    </row>
    <row r="416">
      <c r="A416" s="99" t="inlineStr">
        <is>
          <t>INV00415</t>
        </is>
      </c>
      <c r="B416" s="99" t="inlineStr">
        <is>
          <t>OUT009</t>
        </is>
      </c>
      <c r="C416" s="99">
        <f>INDEX(Lookup!$B$2:$B$11,MATCH(B416,Lookup!$A$2:$A$11,0))</f>
        <v/>
      </c>
      <c r="D416" s="99" t="inlineStr">
        <is>
          <t>BP015</t>
        </is>
      </c>
      <c r="E416" s="99">
        <f>INDEX(Lookup!$E$2:$E$51,MATCH(D416,Lookup!$D$2:$D$51,0))</f>
        <v/>
      </c>
      <c r="F416" s="99">
        <f>INDEX(Lookup!$F$2:$F$51,MATCH(D416,Lookup!$D$2:$D$51,0))</f>
        <v/>
      </c>
      <c r="G416" s="100" t="n">
        <v>113</v>
      </c>
      <c r="H416" s="100" t="n">
        <v>92</v>
      </c>
      <c r="I416" s="100" t="n">
        <v>46</v>
      </c>
      <c r="J416" s="100" t="n">
        <v>3</v>
      </c>
      <c r="K416" s="100" t="n">
        <v>37</v>
      </c>
      <c r="L416" s="100" t="n">
        <v>3</v>
      </c>
      <c r="M416" s="100" t="n">
        <v>156</v>
      </c>
      <c r="N416" s="99" t="inlineStr">
        <is>
          <t>Healthy</t>
        </is>
      </c>
      <c r="O416" s="100">
        <f>G416+H416</f>
        <v/>
      </c>
      <c r="P416" s="100">
        <f>G416+H416-I416-J416</f>
        <v/>
      </c>
      <c r="Q416" s="100">
        <f>MAX(0,P416)</f>
        <v/>
      </c>
      <c r="R416" s="100">
        <f>MAX(0,-P416)</f>
        <v/>
      </c>
      <c r="S416" s="101">
        <f>IFERROR(J416/O416,0)</f>
        <v/>
      </c>
      <c r="T416" s="101">
        <f>IFERROR(I416/O416,0)</f>
        <v/>
      </c>
      <c r="U416" s="102">
        <f>IF(P416&lt;=K416,"Reorder Required","Stock Sufficient")</f>
        <v/>
      </c>
      <c r="V416" s="102">
        <f>IF(AND(Q416=M416,(U416="Reorder Required")=(N416="Reorder Required")),"OK","Mismatch")</f>
        <v/>
      </c>
      <c r="W416" s="99" t="n"/>
    </row>
    <row r="417">
      <c r="A417" s="99" t="inlineStr">
        <is>
          <t>INV00416</t>
        </is>
      </c>
      <c r="B417" s="99" t="inlineStr">
        <is>
          <t>OUT009</t>
        </is>
      </c>
      <c r="C417" s="99">
        <f>INDEX(Lookup!$B$2:$B$11,MATCH(B417,Lookup!$A$2:$A$11,0))</f>
        <v/>
      </c>
      <c r="D417" s="99" t="inlineStr">
        <is>
          <t>BP016</t>
        </is>
      </c>
      <c r="E417" s="99">
        <f>INDEX(Lookup!$E$2:$E$51,MATCH(D417,Lookup!$D$2:$D$51,0))</f>
        <v/>
      </c>
      <c r="F417" s="99">
        <f>INDEX(Lookup!$F$2:$F$51,MATCH(D417,Lookup!$D$2:$D$51,0))</f>
        <v/>
      </c>
      <c r="G417" s="100" t="n">
        <v>123</v>
      </c>
      <c r="H417" s="100" t="n">
        <v>55</v>
      </c>
      <c r="I417" s="100" t="n">
        <v>112</v>
      </c>
      <c r="J417" s="100" t="n">
        <v>0</v>
      </c>
      <c r="K417" s="100" t="n">
        <v>26</v>
      </c>
      <c r="L417" s="100" t="n">
        <v>4</v>
      </c>
      <c r="M417" s="100" t="n">
        <v>66</v>
      </c>
      <c r="N417" s="99" t="inlineStr">
        <is>
          <t>Healthy</t>
        </is>
      </c>
      <c r="O417" s="100">
        <f>G417+H417</f>
        <v/>
      </c>
      <c r="P417" s="100">
        <f>G417+H417-I417-J417</f>
        <v/>
      </c>
      <c r="Q417" s="100">
        <f>MAX(0,P417)</f>
        <v/>
      </c>
      <c r="R417" s="100">
        <f>MAX(0,-P417)</f>
        <v/>
      </c>
      <c r="S417" s="101">
        <f>IFERROR(J417/O417,0)</f>
        <v/>
      </c>
      <c r="T417" s="101">
        <f>IFERROR(I417/O417,0)</f>
        <v/>
      </c>
      <c r="U417" s="102">
        <f>IF(P417&lt;=K417,"Reorder Required","Stock Sufficient")</f>
        <v/>
      </c>
      <c r="V417" s="102">
        <f>IF(AND(Q417=M417,(U417="Reorder Required")=(N417="Reorder Required")),"OK","Mismatch")</f>
        <v/>
      </c>
      <c r="W417" s="99" t="n"/>
    </row>
    <row r="418">
      <c r="A418" s="99" t="inlineStr">
        <is>
          <t>INV00417</t>
        </is>
      </c>
      <c r="B418" s="99" t="inlineStr">
        <is>
          <t>OUT009</t>
        </is>
      </c>
      <c r="C418" s="99">
        <f>INDEX(Lookup!$B$2:$B$11,MATCH(B418,Lookup!$A$2:$A$11,0))</f>
        <v/>
      </c>
      <c r="D418" s="99" t="inlineStr">
        <is>
          <t>BP017</t>
        </is>
      </c>
      <c r="E418" s="99">
        <f>INDEX(Lookup!$E$2:$E$51,MATCH(D418,Lookup!$D$2:$D$51,0))</f>
        <v/>
      </c>
      <c r="F418" s="99">
        <f>INDEX(Lookup!$F$2:$F$51,MATCH(D418,Lookup!$D$2:$D$51,0))</f>
        <v/>
      </c>
      <c r="G418" s="100" t="n">
        <v>101</v>
      </c>
      <c r="H418" s="100" t="n">
        <v>97</v>
      </c>
      <c r="I418" s="100" t="n">
        <v>43</v>
      </c>
      <c r="J418" s="100" t="n">
        <v>3</v>
      </c>
      <c r="K418" s="100" t="n">
        <v>15</v>
      </c>
      <c r="L418" s="100" t="n">
        <v>3</v>
      </c>
      <c r="M418" s="100" t="n">
        <v>152</v>
      </c>
      <c r="N418" s="99" t="inlineStr">
        <is>
          <t>Healthy</t>
        </is>
      </c>
      <c r="O418" s="100">
        <f>G418+H418</f>
        <v/>
      </c>
      <c r="P418" s="100">
        <f>G418+H418-I418-J418</f>
        <v/>
      </c>
      <c r="Q418" s="100">
        <f>MAX(0,P418)</f>
        <v/>
      </c>
      <c r="R418" s="100">
        <f>MAX(0,-P418)</f>
        <v/>
      </c>
      <c r="S418" s="101">
        <f>IFERROR(J418/O418,0)</f>
        <v/>
      </c>
      <c r="T418" s="101">
        <f>IFERROR(I418/O418,0)</f>
        <v/>
      </c>
      <c r="U418" s="102">
        <f>IF(P418&lt;=K418,"Reorder Required","Stock Sufficient")</f>
        <v/>
      </c>
      <c r="V418" s="102">
        <f>IF(AND(Q418=M418,(U418="Reorder Required")=(N418="Reorder Required")),"OK","Mismatch")</f>
        <v/>
      </c>
      <c r="W418" s="99" t="n"/>
    </row>
    <row r="419">
      <c r="A419" s="99" t="inlineStr">
        <is>
          <t>INV00418</t>
        </is>
      </c>
      <c r="B419" s="99" t="inlineStr">
        <is>
          <t>OUT009</t>
        </is>
      </c>
      <c r="C419" s="99">
        <f>INDEX(Lookup!$B$2:$B$11,MATCH(B419,Lookup!$A$2:$A$11,0))</f>
        <v/>
      </c>
      <c r="D419" s="99" t="inlineStr">
        <is>
          <t>BP018</t>
        </is>
      </c>
      <c r="E419" s="99">
        <f>INDEX(Lookup!$E$2:$E$51,MATCH(D419,Lookup!$D$2:$D$51,0))</f>
        <v/>
      </c>
      <c r="F419" s="99">
        <f>INDEX(Lookup!$F$2:$F$51,MATCH(D419,Lookup!$D$2:$D$51,0))</f>
        <v/>
      </c>
      <c r="G419" s="100" t="n">
        <v>81</v>
      </c>
      <c r="H419" s="100" t="n">
        <v>66</v>
      </c>
      <c r="I419" s="100" t="n">
        <v>103</v>
      </c>
      <c r="J419" s="100" t="n">
        <v>2</v>
      </c>
      <c r="K419" s="100" t="n">
        <v>30</v>
      </c>
      <c r="L419" s="100" t="n">
        <v>4</v>
      </c>
      <c r="M419" s="100" t="n">
        <v>42</v>
      </c>
      <c r="N419" s="99" t="inlineStr">
        <is>
          <t>Healthy</t>
        </is>
      </c>
      <c r="O419" s="100">
        <f>G419+H419</f>
        <v/>
      </c>
      <c r="P419" s="100">
        <f>G419+H419-I419-J419</f>
        <v/>
      </c>
      <c r="Q419" s="100">
        <f>MAX(0,P419)</f>
        <v/>
      </c>
      <c r="R419" s="100">
        <f>MAX(0,-P419)</f>
        <v/>
      </c>
      <c r="S419" s="101">
        <f>IFERROR(J419/O419,0)</f>
        <v/>
      </c>
      <c r="T419" s="101">
        <f>IFERROR(I419/O419,0)</f>
        <v/>
      </c>
      <c r="U419" s="102">
        <f>IF(P419&lt;=K419,"Reorder Required","Stock Sufficient")</f>
        <v/>
      </c>
      <c r="V419" s="102">
        <f>IF(AND(Q419=M419,(U419="Reorder Required")=(N419="Reorder Required")),"OK","Mismatch")</f>
        <v/>
      </c>
      <c r="W419" s="99" t="n"/>
    </row>
    <row r="420">
      <c r="A420" s="99" t="inlineStr">
        <is>
          <t>INV00419</t>
        </is>
      </c>
      <c r="B420" s="99" t="inlineStr">
        <is>
          <t>OUT009</t>
        </is>
      </c>
      <c r="C420" s="99">
        <f>INDEX(Lookup!$B$2:$B$11,MATCH(B420,Lookup!$A$2:$A$11,0))</f>
        <v/>
      </c>
      <c r="D420" s="99" t="inlineStr">
        <is>
          <t>BP019</t>
        </is>
      </c>
      <c r="E420" s="99">
        <f>INDEX(Lookup!$E$2:$E$51,MATCH(D420,Lookup!$D$2:$D$51,0))</f>
        <v/>
      </c>
      <c r="F420" s="99">
        <f>INDEX(Lookup!$F$2:$F$51,MATCH(D420,Lookup!$D$2:$D$51,0))</f>
        <v/>
      </c>
      <c r="G420" s="100" t="n">
        <v>142</v>
      </c>
      <c r="H420" s="100" t="n">
        <v>34</v>
      </c>
      <c r="I420" s="100" t="n">
        <v>106</v>
      </c>
      <c r="J420" s="100" t="n">
        <v>3</v>
      </c>
      <c r="K420" s="100" t="n">
        <v>30</v>
      </c>
      <c r="L420" s="100" t="n">
        <v>3</v>
      </c>
      <c r="M420" s="100" t="n">
        <v>67</v>
      </c>
      <c r="N420" s="99" t="inlineStr">
        <is>
          <t>Healthy</t>
        </is>
      </c>
      <c r="O420" s="100">
        <f>G420+H420</f>
        <v/>
      </c>
      <c r="P420" s="100">
        <f>G420+H420-I420-J420</f>
        <v/>
      </c>
      <c r="Q420" s="100">
        <f>MAX(0,P420)</f>
        <v/>
      </c>
      <c r="R420" s="100">
        <f>MAX(0,-P420)</f>
        <v/>
      </c>
      <c r="S420" s="101">
        <f>IFERROR(J420/O420,0)</f>
        <v/>
      </c>
      <c r="T420" s="101">
        <f>IFERROR(I420/O420,0)</f>
        <v/>
      </c>
      <c r="U420" s="102">
        <f>IF(P420&lt;=K420,"Reorder Required","Stock Sufficient")</f>
        <v/>
      </c>
      <c r="V420" s="102">
        <f>IF(AND(Q420=M420,(U420="Reorder Required")=(N420="Reorder Required")),"OK","Mismatch")</f>
        <v/>
      </c>
      <c r="W420" s="99" t="n"/>
    </row>
    <row r="421">
      <c r="A421" s="99" t="inlineStr">
        <is>
          <t>INV00420</t>
        </is>
      </c>
      <c r="B421" s="99" t="inlineStr">
        <is>
          <t>OUT009</t>
        </is>
      </c>
      <c r="C421" s="99">
        <f>INDEX(Lookup!$B$2:$B$11,MATCH(B421,Lookup!$A$2:$A$11,0))</f>
        <v/>
      </c>
      <c r="D421" s="99" t="inlineStr">
        <is>
          <t>BP020</t>
        </is>
      </c>
      <c r="E421" s="99">
        <f>INDEX(Lookup!$E$2:$E$51,MATCH(D421,Lookup!$D$2:$D$51,0))</f>
        <v/>
      </c>
      <c r="F421" s="99">
        <f>INDEX(Lookup!$F$2:$F$51,MATCH(D421,Lookup!$D$2:$D$51,0))</f>
        <v/>
      </c>
      <c r="G421" s="100" t="n">
        <v>109</v>
      </c>
      <c r="H421" s="100" t="n">
        <v>96</v>
      </c>
      <c r="I421" s="100" t="n">
        <v>44</v>
      </c>
      <c r="J421" s="100" t="n">
        <v>1</v>
      </c>
      <c r="K421" s="100" t="n">
        <v>20</v>
      </c>
      <c r="L421" s="100" t="n">
        <v>1</v>
      </c>
      <c r="M421" s="100" t="n">
        <v>160</v>
      </c>
      <c r="N421" s="99" t="inlineStr">
        <is>
          <t>Healthy</t>
        </is>
      </c>
      <c r="O421" s="100">
        <f>G421+H421</f>
        <v/>
      </c>
      <c r="P421" s="100">
        <f>G421+H421-I421-J421</f>
        <v/>
      </c>
      <c r="Q421" s="100">
        <f>MAX(0,P421)</f>
        <v/>
      </c>
      <c r="R421" s="100">
        <f>MAX(0,-P421)</f>
        <v/>
      </c>
      <c r="S421" s="101">
        <f>IFERROR(J421/O421,0)</f>
        <v/>
      </c>
      <c r="T421" s="101">
        <f>IFERROR(I421/O421,0)</f>
        <v/>
      </c>
      <c r="U421" s="102">
        <f>IF(P421&lt;=K421,"Reorder Required","Stock Sufficient")</f>
        <v/>
      </c>
      <c r="V421" s="102">
        <f>IF(AND(Q421=M421,(U421="Reorder Required")=(N421="Reorder Required")),"OK","Mismatch")</f>
        <v/>
      </c>
      <c r="W421" s="99" t="n"/>
    </row>
    <row r="422">
      <c r="A422" s="99" t="inlineStr">
        <is>
          <t>INV00421</t>
        </is>
      </c>
      <c r="B422" s="99" t="inlineStr">
        <is>
          <t>OUT009</t>
        </is>
      </c>
      <c r="C422" s="99">
        <f>INDEX(Lookup!$B$2:$B$11,MATCH(B422,Lookup!$A$2:$A$11,0))</f>
        <v/>
      </c>
      <c r="D422" s="99" t="inlineStr">
        <is>
          <t>BP021</t>
        </is>
      </c>
      <c r="E422" s="99">
        <f>INDEX(Lookup!$E$2:$E$51,MATCH(D422,Lookup!$D$2:$D$51,0))</f>
        <v/>
      </c>
      <c r="F422" s="99">
        <f>INDEX(Lookup!$F$2:$F$51,MATCH(D422,Lookup!$D$2:$D$51,0))</f>
        <v/>
      </c>
      <c r="G422" s="100" t="n">
        <v>131</v>
      </c>
      <c r="H422" s="100" t="n">
        <v>58</v>
      </c>
      <c r="I422" s="100" t="n">
        <v>139</v>
      </c>
      <c r="J422" s="100" t="n">
        <v>0</v>
      </c>
      <c r="K422" s="100" t="n">
        <v>33</v>
      </c>
      <c r="L422" s="100" t="n">
        <v>1</v>
      </c>
      <c r="M422" s="100" t="n">
        <v>50</v>
      </c>
      <c r="N422" s="99" t="inlineStr">
        <is>
          <t>Healthy</t>
        </is>
      </c>
      <c r="O422" s="100">
        <f>G422+H422</f>
        <v/>
      </c>
      <c r="P422" s="100">
        <f>G422+H422-I422-J422</f>
        <v/>
      </c>
      <c r="Q422" s="100">
        <f>MAX(0,P422)</f>
        <v/>
      </c>
      <c r="R422" s="100">
        <f>MAX(0,-P422)</f>
        <v/>
      </c>
      <c r="S422" s="101">
        <f>IFERROR(J422/O422,0)</f>
        <v/>
      </c>
      <c r="T422" s="101">
        <f>IFERROR(I422/O422,0)</f>
        <v/>
      </c>
      <c r="U422" s="102">
        <f>IF(P422&lt;=K422,"Reorder Required","Stock Sufficient")</f>
        <v/>
      </c>
      <c r="V422" s="102">
        <f>IF(AND(Q422=M422,(U422="Reorder Required")=(N422="Reorder Required")),"OK","Mismatch")</f>
        <v/>
      </c>
      <c r="W422" s="99" t="n"/>
    </row>
    <row r="423">
      <c r="A423" s="99" t="inlineStr">
        <is>
          <t>INV00422</t>
        </is>
      </c>
      <c r="B423" s="99" t="inlineStr">
        <is>
          <t>OUT009</t>
        </is>
      </c>
      <c r="C423" s="99">
        <f>INDEX(Lookup!$B$2:$B$11,MATCH(B423,Lookup!$A$2:$A$11,0))</f>
        <v/>
      </c>
      <c r="D423" s="99" t="inlineStr">
        <is>
          <t>BP022</t>
        </is>
      </c>
      <c r="E423" s="99">
        <f>INDEX(Lookup!$E$2:$E$51,MATCH(D423,Lookup!$D$2:$D$51,0))</f>
        <v/>
      </c>
      <c r="F423" s="99">
        <f>INDEX(Lookup!$F$2:$F$51,MATCH(D423,Lookup!$D$2:$D$51,0))</f>
        <v/>
      </c>
      <c r="G423" s="100" t="n">
        <v>109</v>
      </c>
      <c r="H423" s="100" t="n">
        <v>41</v>
      </c>
      <c r="I423" s="100" t="n">
        <v>135</v>
      </c>
      <c r="J423" s="100" t="n">
        <v>3</v>
      </c>
      <c r="K423" s="100" t="n">
        <v>33</v>
      </c>
      <c r="L423" s="100" t="n">
        <v>5</v>
      </c>
      <c r="M423" s="100" t="n">
        <v>12</v>
      </c>
      <c r="N423" s="99" t="inlineStr">
        <is>
          <t>Reorder Required</t>
        </is>
      </c>
      <c r="O423" s="100">
        <f>G423+H423</f>
        <v/>
      </c>
      <c r="P423" s="100">
        <f>G423+H423-I423-J423</f>
        <v/>
      </c>
      <c r="Q423" s="100">
        <f>MAX(0,P423)</f>
        <v/>
      </c>
      <c r="R423" s="100">
        <f>MAX(0,-P423)</f>
        <v/>
      </c>
      <c r="S423" s="101">
        <f>IFERROR(J423/O423,0)</f>
        <v/>
      </c>
      <c r="T423" s="101">
        <f>IFERROR(I423/O423,0)</f>
        <v/>
      </c>
      <c r="U423" s="102">
        <f>IF(P423&lt;=K423,"Reorder Required","Stock Sufficient")</f>
        <v/>
      </c>
      <c r="V423" s="102">
        <f>IF(AND(Q423=M423,(U423="Reorder Required")=(N423="Reorder Required")),"OK","Mismatch")</f>
        <v/>
      </c>
      <c r="W423" s="99" t="inlineStr">
        <is>
          <t>Restock immediately</t>
        </is>
      </c>
    </row>
    <row r="424">
      <c r="A424" s="99" t="inlineStr">
        <is>
          <t>INV00423</t>
        </is>
      </c>
      <c r="B424" s="99" t="inlineStr">
        <is>
          <t>OUT009</t>
        </is>
      </c>
      <c r="C424" s="99">
        <f>INDEX(Lookup!$B$2:$B$11,MATCH(B424,Lookup!$A$2:$A$11,0))</f>
        <v/>
      </c>
      <c r="D424" s="99" t="inlineStr">
        <is>
          <t>BP023</t>
        </is>
      </c>
      <c r="E424" s="99">
        <f>INDEX(Lookup!$E$2:$E$51,MATCH(D424,Lookup!$D$2:$D$51,0))</f>
        <v/>
      </c>
      <c r="F424" s="99">
        <f>INDEX(Lookup!$F$2:$F$51,MATCH(D424,Lookup!$D$2:$D$51,0))</f>
        <v/>
      </c>
      <c r="G424" s="100" t="n">
        <v>62</v>
      </c>
      <c r="H424" s="100" t="n">
        <v>71</v>
      </c>
      <c r="I424" s="100" t="n">
        <v>49</v>
      </c>
      <c r="J424" s="100" t="n">
        <v>3</v>
      </c>
      <c r="K424" s="100" t="n">
        <v>33</v>
      </c>
      <c r="L424" s="100" t="n">
        <v>2</v>
      </c>
      <c r="M424" s="100" t="n">
        <v>81</v>
      </c>
      <c r="N424" s="99" t="inlineStr">
        <is>
          <t>Healthy</t>
        </is>
      </c>
      <c r="O424" s="100">
        <f>G424+H424</f>
        <v/>
      </c>
      <c r="P424" s="100">
        <f>G424+H424-I424-J424</f>
        <v/>
      </c>
      <c r="Q424" s="100">
        <f>MAX(0,P424)</f>
        <v/>
      </c>
      <c r="R424" s="100">
        <f>MAX(0,-P424)</f>
        <v/>
      </c>
      <c r="S424" s="101">
        <f>IFERROR(J424/O424,0)</f>
        <v/>
      </c>
      <c r="T424" s="101">
        <f>IFERROR(I424/O424,0)</f>
        <v/>
      </c>
      <c r="U424" s="102">
        <f>IF(P424&lt;=K424,"Reorder Required","Stock Sufficient")</f>
        <v/>
      </c>
      <c r="V424" s="102">
        <f>IF(AND(Q424=M424,(U424="Reorder Required")=(N424="Reorder Required")),"OK","Mismatch")</f>
        <v/>
      </c>
      <c r="W424" s="99" t="n"/>
    </row>
    <row r="425">
      <c r="A425" s="99" t="inlineStr">
        <is>
          <t>INV00424</t>
        </is>
      </c>
      <c r="B425" s="99" t="inlineStr">
        <is>
          <t>OUT009</t>
        </is>
      </c>
      <c r="C425" s="99">
        <f>INDEX(Lookup!$B$2:$B$11,MATCH(B425,Lookup!$A$2:$A$11,0))</f>
        <v/>
      </c>
      <c r="D425" s="99" t="inlineStr">
        <is>
          <t>BP024</t>
        </is>
      </c>
      <c r="E425" s="99">
        <f>INDEX(Lookup!$E$2:$E$51,MATCH(D425,Lookup!$D$2:$D$51,0))</f>
        <v/>
      </c>
      <c r="F425" s="99">
        <f>INDEX(Lookup!$F$2:$F$51,MATCH(D425,Lookup!$D$2:$D$51,0))</f>
        <v/>
      </c>
      <c r="G425" s="100" t="n">
        <v>138</v>
      </c>
      <c r="H425" s="100" t="n">
        <v>67</v>
      </c>
      <c r="I425" s="100" t="n">
        <v>101</v>
      </c>
      <c r="J425" s="100" t="n">
        <v>1</v>
      </c>
      <c r="K425" s="100" t="n">
        <v>35</v>
      </c>
      <c r="L425" s="100" t="n">
        <v>2</v>
      </c>
      <c r="M425" s="100" t="n">
        <v>103</v>
      </c>
      <c r="N425" s="99" t="inlineStr">
        <is>
          <t>Healthy</t>
        </is>
      </c>
      <c r="O425" s="100">
        <f>G425+H425</f>
        <v/>
      </c>
      <c r="P425" s="100">
        <f>G425+H425-I425-J425</f>
        <v/>
      </c>
      <c r="Q425" s="100">
        <f>MAX(0,P425)</f>
        <v/>
      </c>
      <c r="R425" s="100">
        <f>MAX(0,-P425)</f>
        <v/>
      </c>
      <c r="S425" s="101">
        <f>IFERROR(J425/O425,0)</f>
        <v/>
      </c>
      <c r="T425" s="101">
        <f>IFERROR(I425/O425,0)</f>
        <v/>
      </c>
      <c r="U425" s="102">
        <f>IF(P425&lt;=K425,"Reorder Required","Stock Sufficient")</f>
        <v/>
      </c>
      <c r="V425" s="102">
        <f>IF(AND(Q425=M425,(U425="Reorder Required")=(N425="Reorder Required")),"OK","Mismatch")</f>
        <v/>
      </c>
      <c r="W425" s="99" t="n"/>
    </row>
    <row r="426">
      <c r="A426" s="99" t="inlineStr">
        <is>
          <t>INV00425</t>
        </is>
      </c>
      <c r="B426" s="99" t="inlineStr">
        <is>
          <t>OUT009</t>
        </is>
      </c>
      <c r="C426" s="99">
        <f>INDEX(Lookup!$B$2:$B$11,MATCH(B426,Lookup!$A$2:$A$11,0))</f>
        <v/>
      </c>
      <c r="D426" s="99" t="inlineStr">
        <is>
          <t>BP025</t>
        </is>
      </c>
      <c r="E426" s="99">
        <f>INDEX(Lookup!$E$2:$E$51,MATCH(D426,Lookup!$D$2:$D$51,0))</f>
        <v/>
      </c>
      <c r="F426" s="99">
        <f>INDEX(Lookup!$F$2:$F$51,MATCH(D426,Lookup!$D$2:$D$51,0))</f>
        <v/>
      </c>
      <c r="G426" s="100" t="n">
        <v>72</v>
      </c>
      <c r="H426" s="100" t="n">
        <v>100</v>
      </c>
      <c r="I426" s="100" t="n">
        <v>55</v>
      </c>
      <c r="J426" s="100" t="n">
        <v>2</v>
      </c>
      <c r="K426" s="100" t="n">
        <v>26</v>
      </c>
      <c r="L426" s="100" t="n">
        <v>1</v>
      </c>
      <c r="M426" s="100" t="n">
        <v>115</v>
      </c>
      <c r="N426" s="99" t="inlineStr">
        <is>
          <t>Healthy</t>
        </is>
      </c>
      <c r="O426" s="100">
        <f>G426+H426</f>
        <v/>
      </c>
      <c r="P426" s="100">
        <f>G426+H426-I426-J426</f>
        <v/>
      </c>
      <c r="Q426" s="100">
        <f>MAX(0,P426)</f>
        <v/>
      </c>
      <c r="R426" s="100">
        <f>MAX(0,-P426)</f>
        <v/>
      </c>
      <c r="S426" s="101">
        <f>IFERROR(J426/O426,0)</f>
        <v/>
      </c>
      <c r="T426" s="101">
        <f>IFERROR(I426/O426,0)</f>
        <v/>
      </c>
      <c r="U426" s="102">
        <f>IF(P426&lt;=K426,"Reorder Required","Stock Sufficient")</f>
        <v/>
      </c>
      <c r="V426" s="102">
        <f>IF(AND(Q426=M426,(U426="Reorder Required")=(N426="Reorder Required")),"OK","Mismatch")</f>
        <v/>
      </c>
      <c r="W426" s="99" t="n"/>
    </row>
    <row r="427">
      <c r="A427" s="99" t="inlineStr">
        <is>
          <t>INV00426</t>
        </is>
      </c>
      <c r="B427" s="99" t="inlineStr">
        <is>
          <t>OUT009</t>
        </is>
      </c>
      <c r="C427" s="99">
        <f>INDEX(Lookup!$B$2:$B$11,MATCH(B427,Lookup!$A$2:$A$11,0))</f>
        <v/>
      </c>
      <c r="D427" s="99" t="inlineStr">
        <is>
          <t>BP026</t>
        </is>
      </c>
      <c r="E427" s="99">
        <f>INDEX(Lookup!$E$2:$E$51,MATCH(D427,Lookup!$D$2:$D$51,0))</f>
        <v/>
      </c>
      <c r="F427" s="99">
        <f>INDEX(Lookup!$F$2:$F$51,MATCH(D427,Lookup!$D$2:$D$51,0))</f>
        <v/>
      </c>
      <c r="G427" s="100" t="n">
        <v>146</v>
      </c>
      <c r="H427" s="100" t="n">
        <v>64</v>
      </c>
      <c r="I427" s="100" t="n">
        <v>134</v>
      </c>
      <c r="J427" s="100" t="n">
        <v>0</v>
      </c>
      <c r="K427" s="100" t="n">
        <v>17</v>
      </c>
      <c r="L427" s="100" t="n">
        <v>4</v>
      </c>
      <c r="M427" s="100" t="n">
        <v>76</v>
      </c>
      <c r="N427" s="99" t="inlineStr">
        <is>
          <t>Healthy</t>
        </is>
      </c>
      <c r="O427" s="100">
        <f>G427+H427</f>
        <v/>
      </c>
      <c r="P427" s="100">
        <f>G427+H427-I427-J427</f>
        <v/>
      </c>
      <c r="Q427" s="100">
        <f>MAX(0,P427)</f>
        <v/>
      </c>
      <c r="R427" s="100">
        <f>MAX(0,-P427)</f>
        <v/>
      </c>
      <c r="S427" s="101">
        <f>IFERROR(J427/O427,0)</f>
        <v/>
      </c>
      <c r="T427" s="101">
        <f>IFERROR(I427/O427,0)</f>
        <v/>
      </c>
      <c r="U427" s="102">
        <f>IF(P427&lt;=K427,"Reorder Required","Stock Sufficient")</f>
        <v/>
      </c>
      <c r="V427" s="102">
        <f>IF(AND(Q427=M427,(U427="Reorder Required")=(N427="Reorder Required")),"OK","Mismatch")</f>
        <v/>
      </c>
      <c r="W427" s="99" t="n"/>
    </row>
    <row r="428">
      <c r="A428" s="99" t="inlineStr">
        <is>
          <t>INV00427</t>
        </is>
      </c>
      <c r="B428" s="99" t="inlineStr">
        <is>
          <t>OUT009</t>
        </is>
      </c>
      <c r="C428" s="99">
        <f>INDEX(Lookup!$B$2:$B$11,MATCH(B428,Lookup!$A$2:$A$11,0))</f>
        <v/>
      </c>
      <c r="D428" s="99" t="inlineStr">
        <is>
          <t>BP027</t>
        </is>
      </c>
      <c r="E428" s="99">
        <f>INDEX(Lookup!$E$2:$E$51,MATCH(D428,Lookup!$D$2:$D$51,0))</f>
        <v/>
      </c>
      <c r="F428" s="99">
        <f>INDEX(Lookup!$F$2:$F$51,MATCH(D428,Lookup!$D$2:$D$51,0))</f>
        <v/>
      </c>
      <c r="G428" s="100" t="n">
        <v>44</v>
      </c>
      <c r="H428" s="100" t="n">
        <v>36</v>
      </c>
      <c r="I428" s="100" t="n">
        <v>129</v>
      </c>
      <c r="J428" s="100" t="n">
        <v>1</v>
      </c>
      <c r="K428" s="100" t="n">
        <v>37</v>
      </c>
      <c r="L428" s="100" t="n">
        <v>4</v>
      </c>
      <c r="M428" s="100" t="n">
        <v>0</v>
      </c>
      <c r="N428" s="99" t="inlineStr">
        <is>
          <t>Reorder Required</t>
        </is>
      </c>
      <c r="O428" s="100">
        <f>G428+H428</f>
        <v/>
      </c>
      <c r="P428" s="100">
        <f>G428+H428-I428-J428</f>
        <v/>
      </c>
      <c r="Q428" s="100">
        <f>MAX(0,P428)</f>
        <v/>
      </c>
      <c r="R428" s="100">
        <f>MAX(0,-P428)</f>
        <v/>
      </c>
      <c r="S428" s="101">
        <f>IFERROR(J428/O428,0)</f>
        <v/>
      </c>
      <c r="T428" s="101">
        <f>IFERROR(I428/O428,0)</f>
        <v/>
      </c>
      <c r="U428" s="102">
        <f>IF(P428&lt;=K428,"Reorder Required","Stock Sufficient")</f>
        <v/>
      </c>
      <c r="V428" s="102">
        <f>IF(AND(Q428=M428,(U428="Reorder Required")=(N428="Reorder Required")),"OK","Mismatch")</f>
        <v/>
      </c>
      <c r="W428" s="99" t="inlineStr">
        <is>
          <t>Restock immediately</t>
        </is>
      </c>
    </row>
    <row r="429">
      <c r="A429" s="99" t="inlineStr">
        <is>
          <t>INV00428</t>
        </is>
      </c>
      <c r="B429" s="99" t="inlineStr">
        <is>
          <t>OUT009</t>
        </is>
      </c>
      <c r="C429" s="99">
        <f>INDEX(Lookup!$B$2:$B$11,MATCH(B429,Lookup!$A$2:$A$11,0))</f>
        <v/>
      </c>
      <c r="D429" s="99" t="inlineStr">
        <is>
          <t>BP028</t>
        </is>
      </c>
      <c r="E429" s="99">
        <f>INDEX(Lookup!$E$2:$E$51,MATCH(D429,Lookup!$D$2:$D$51,0))</f>
        <v/>
      </c>
      <c r="F429" s="99">
        <f>INDEX(Lookup!$F$2:$F$51,MATCH(D429,Lookup!$D$2:$D$51,0))</f>
        <v/>
      </c>
      <c r="G429" s="100" t="n">
        <v>135</v>
      </c>
      <c r="H429" s="100" t="n">
        <v>40</v>
      </c>
      <c r="I429" s="100" t="n">
        <v>40</v>
      </c>
      <c r="J429" s="100" t="n">
        <v>1</v>
      </c>
      <c r="K429" s="100" t="n">
        <v>21</v>
      </c>
      <c r="L429" s="100" t="n">
        <v>1</v>
      </c>
      <c r="M429" s="100" t="n">
        <v>134</v>
      </c>
      <c r="N429" s="99" t="inlineStr">
        <is>
          <t>Healthy</t>
        </is>
      </c>
      <c r="O429" s="100">
        <f>G429+H429</f>
        <v/>
      </c>
      <c r="P429" s="100">
        <f>G429+H429-I429-J429</f>
        <v/>
      </c>
      <c r="Q429" s="100">
        <f>MAX(0,P429)</f>
        <v/>
      </c>
      <c r="R429" s="100">
        <f>MAX(0,-P429)</f>
        <v/>
      </c>
      <c r="S429" s="101">
        <f>IFERROR(J429/O429,0)</f>
        <v/>
      </c>
      <c r="T429" s="101">
        <f>IFERROR(I429/O429,0)</f>
        <v/>
      </c>
      <c r="U429" s="102">
        <f>IF(P429&lt;=K429,"Reorder Required","Stock Sufficient")</f>
        <v/>
      </c>
      <c r="V429" s="102">
        <f>IF(AND(Q429=M429,(U429="Reorder Required")=(N429="Reorder Required")),"OK","Mismatch")</f>
        <v/>
      </c>
      <c r="W429" s="99" t="n"/>
    </row>
    <row r="430">
      <c r="A430" s="99" t="inlineStr">
        <is>
          <t>INV00429</t>
        </is>
      </c>
      <c r="B430" s="99" t="inlineStr">
        <is>
          <t>OUT009</t>
        </is>
      </c>
      <c r="C430" s="99">
        <f>INDEX(Lookup!$B$2:$B$11,MATCH(B430,Lookup!$A$2:$A$11,0))</f>
        <v/>
      </c>
      <c r="D430" s="99" t="inlineStr">
        <is>
          <t>BP029</t>
        </is>
      </c>
      <c r="E430" s="99">
        <f>INDEX(Lookup!$E$2:$E$51,MATCH(D430,Lookup!$D$2:$D$51,0))</f>
        <v/>
      </c>
      <c r="F430" s="99">
        <f>INDEX(Lookup!$F$2:$F$51,MATCH(D430,Lookup!$D$2:$D$51,0))</f>
        <v/>
      </c>
      <c r="G430" s="100" t="n">
        <v>82</v>
      </c>
      <c r="H430" s="100" t="n">
        <v>87</v>
      </c>
      <c r="I430" s="100" t="n">
        <v>36</v>
      </c>
      <c r="J430" s="100" t="n">
        <v>3</v>
      </c>
      <c r="K430" s="100" t="n">
        <v>40</v>
      </c>
      <c r="L430" s="100" t="n">
        <v>1</v>
      </c>
      <c r="M430" s="100" t="n">
        <v>130</v>
      </c>
      <c r="N430" s="99" t="inlineStr">
        <is>
          <t>Healthy</t>
        </is>
      </c>
      <c r="O430" s="100">
        <f>G430+H430</f>
        <v/>
      </c>
      <c r="P430" s="100">
        <f>G430+H430-I430-J430</f>
        <v/>
      </c>
      <c r="Q430" s="100">
        <f>MAX(0,P430)</f>
        <v/>
      </c>
      <c r="R430" s="100">
        <f>MAX(0,-P430)</f>
        <v/>
      </c>
      <c r="S430" s="101">
        <f>IFERROR(J430/O430,0)</f>
        <v/>
      </c>
      <c r="T430" s="101">
        <f>IFERROR(I430/O430,0)</f>
        <v/>
      </c>
      <c r="U430" s="102">
        <f>IF(P430&lt;=K430,"Reorder Required","Stock Sufficient")</f>
        <v/>
      </c>
      <c r="V430" s="102">
        <f>IF(AND(Q430=M430,(U430="Reorder Required")=(N430="Reorder Required")),"OK","Mismatch")</f>
        <v/>
      </c>
      <c r="W430" s="99" t="n"/>
    </row>
    <row r="431">
      <c r="A431" s="99" t="inlineStr">
        <is>
          <t>INV00430</t>
        </is>
      </c>
      <c r="B431" s="99" t="inlineStr">
        <is>
          <t>OUT009</t>
        </is>
      </c>
      <c r="C431" s="99">
        <f>INDEX(Lookup!$B$2:$B$11,MATCH(B431,Lookup!$A$2:$A$11,0))</f>
        <v/>
      </c>
      <c r="D431" s="99" t="inlineStr">
        <is>
          <t>BP030</t>
        </is>
      </c>
      <c r="E431" s="99">
        <f>INDEX(Lookup!$E$2:$E$51,MATCH(D431,Lookup!$D$2:$D$51,0))</f>
        <v/>
      </c>
      <c r="F431" s="99">
        <f>INDEX(Lookup!$F$2:$F$51,MATCH(D431,Lookup!$D$2:$D$51,0))</f>
        <v/>
      </c>
      <c r="G431" s="100" t="n">
        <v>117</v>
      </c>
      <c r="H431" s="100" t="n">
        <v>49</v>
      </c>
      <c r="I431" s="100" t="n">
        <v>92</v>
      </c>
      <c r="J431" s="100" t="n">
        <v>8</v>
      </c>
      <c r="K431" s="100" t="n">
        <v>28</v>
      </c>
      <c r="L431" s="100" t="n">
        <v>5</v>
      </c>
      <c r="M431" s="100" t="n">
        <v>66</v>
      </c>
      <c r="N431" s="99" t="inlineStr">
        <is>
          <t>Healthy</t>
        </is>
      </c>
      <c r="O431" s="100">
        <f>G431+H431</f>
        <v/>
      </c>
      <c r="P431" s="100">
        <f>G431+H431-I431-J431</f>
        <v/>
      </c>
      <c r="Q431" s="100">
        <f>MAX(0,P431)</f>
        <v/>
      </c>
      <c r="R431" s="100">
        <f>MAX(0,-P431)</f>
        <v/>
      </c>
      <c r="S431" s="101">
        <f>IFERROR(J431/O431,0)</f>
        <v/>
      </c>
      <c r="T431" s="101">
        <f>IFERROR(I431/O431,0)</f>
        <v/>
      </c>
      <c r="U431" s="102">
        <f>IF(P431&lt;=K431,"Reorder Required","Stock Sufficient")</f>
        <v/>
      </c>
      <c r="V431" s="102">
        <f>IF(AND(Q431=M431,(U431="Reorder Required")=(N431="Reorder Required")),"OK","Mismatch")</f>
        <v/>
      </c>
      <c r="W431" s="99" t="n"/>
    </row>
    <row r="432">
      <c r="A432" s="99" t="inlineStr">
        <is>
          <t>INV00431</t>
        </is>
      </c>
      <c r="B432" s="99" t="inlineStr">
        <is>
          <t>OUT009</t>
        </is>
      </c>
      <c r="C432" s="99">
        <f>INDEX(Lookup!$B$2:$B$11,MATCH(B432,Lookup!$A$2:$A$11,0))</f>
        <v/>
      </c>
      <c r="D432" s="99" t="inlineStr">
        <is>
          <t>BP031</t>
        </is>
      </c>
      <c r="E432" s="99">
        <f>INDEX(Lookup!$E$2:$E$51,MATCH(D432,Lookup!$D$2:$D$51,0))</f>
        <v/>
      </c>
      <c r="F432" s="99">
        <f>INDEX(Lookup!$F$2:$F$51,MATCH(D432,Lookup!$D$2:$D$51,0))</f>
        <v/>
      </c>
      <c r="G432" s="100" t="n">
        <v>123</v>
      </c>
      <c r="H432" s="100" t="n">
        <v>45</v>
      </c>
      <c r="I432" s="100" t="n">
        <v>63</v>
      </c>
      <c r="J432" s="100" t="n">
        <v>6</v>
      </c>
      <c r="K432" s="100" t="n">
        <v>38</v>
      </c>
      <c r="L432" s="100" t="n">
        <v>5</v>
      </c>
      <c r="M432" s="100" t="n">
        <v>99</v>
      </c>
      <c r="N432" s="99" t="inlineStr">
        <is>
          <t>Healthy</t>
        </is>
      </c>
      <c r="O432" s="100">
        <f>G432+H432</f>
        <v/>
      </c>
      <c r="P432" s="100">
        <f>G432+H432-I432-J432</f>
        <v/>
      </c>
      <c r="Q432" s="100">
        <f>MAX(0,P432)</f>
        <v/>
      </c>
      <c r="R432" s="100">
        <f>MAX(0,-P432)</f>
        <v/>
      </c>
      <c r="S432" s="101">
        <f>IFERROR(J432/O432,0)</f>
        <v/>
      </c>
      <c r="T432" s="101">
        <f>IFERROR(I432/O432,0)</f>
        <v/>
      </c>
      <c r="U432" s="102">
        <f>IF(P432&lt;=K432,"Reorder Required","Stock Sufficient")</f>
        <v/>
      </c>
      <c r="V432" s="102">
        <f>IF(AND(Q432=M432,(U432="Reorder Required")=(N432="Reorder Required")),"OK","Mismatch")</f>
        <v/>
      </c>
      <c r="W432" s="99" t="n"/>
    </row>
    <row r="433">
      <c r="A433" s="99" t="inlineStr">
        <is>
          <t>INV00432</t>
        </is>
      </c>
      <c r="B433" s="99" t="inlineStr">
        <is>
          <t>OUT009</t>
        </is>
      </c>
      <c r="C433" s="99">
        <f>INDEX(Lookup!$B$2:$B$11,MATCH(B433,Lookup!$A$2:$A$11,0))</f>
        <v/>
      </c>
      <c r="D433" s="99" t="inlineStr">
        <is>
          <t>BP032</t>
        </is>
      </c>
      <c r="E433" s="99">
        <f>INDEX(Lookup!$E$2:$E$51,MATCH(D433,Lookup!$D$2:$D$51,0))</f>
        <v/>
      </c>
      <c r="F433" s="99">
        <f>INDEX(Lookup!$F$2:$F$51,MATCH(D433,Lookup!$D$2:$D$51,0))</f>
        <v/>
      </c>
      <c r="G433" s="100" t="n">
        <v>120</v>
      </c>
      <c r="H433" s="100" t="n">
        <v>51</v>
      </c>
      <c r="I433" s="100" t="n">
        <v>72</v>
      </c>
      <c r="J433" s="100" t="n">
        <v>7</v>
      </c>
      <c r="K433" s="100" t="n">
        <v>40</v>
      </c>
      <c r="L433" s="100" t="n">
        <v>2</v>
      </c>
      <c r="M433" s="100" t="n">
        <v>92</v>
      </c>
      <c r="N433" s="99" t="inlineStr">
        <is>
          <t>Healthy</t>
        </is>
      </c>
      <c r="O433" s="100">
        <f>G433+H433</f>
        <v/>
      </c>
      <c r="P433" s="100">
        <f>G433+H433-I433-J433</f>
        <v/>
      </c>
      <c r="Q433" s="100">
        <f>MAX(0,P433)</f>
        <v/>
      </c>
      <c r="R433" s="100">
        <f>MAX(0,-P433)</f>
        <v/>
      </c>
      <c r="S433" s="101">
        <f>IFERROR(J433/O433,0)</f>
        <v/>
      </c>
      <c r="T433" s="101">
        <f>IFERROR(I433/O433,0)</f>
        <v/>
      </c>
      <c r="U433" s="102">
        <f>IF(P433&lt;=K433,"Reorder Required","Stock Sufficient")</f>
        <v/>
      </c>
      <c r="V433" s="102">
        <f>IF(AND(Q433=M433,(U433="Reorder Required")=(N433="Reorder Required")),"OK","Mismatch")</f>
        <v/>
      </c>
      <c r="W433" s="99" t="n"/>
    </row>
    <row r="434">
      <c r="A434" s="99" t="inlineStr">
        <is>
          <t>INV00433</t>
        </is>
      </c>
      <c r="B434" s="99" t="inlineStr">
        <is>
          <t>OUT009</t>
        </is>
      </c>
      <c r="C434" s="99">
        <f>INDEX(Lookup!$B$2:$B$11,MATCH(B434,Lookup!$A$2:$A$11,0))</f>
        <v/>
      </c>
      <c r="D434" s="99" t="inlineStr">
        <is>
          <t>BP033</t>
        </is>
      </c>
      <c r="E434" s="99">
        <f>INDEX(Lookup!$E$2:$E$51,MATCH(D434,Lookup!$D$2:$D$51,0))</f>
        <v/>
      </c>
      <c r="F434" s="99">
        <f>INDEX(Lookup!$F$2:$F$51,MATCH(D434,Lookup!$D$2:$D$51,0))</f>
        <v/>
      </c>
      <c r="G434" s="100" t="n">
        <v>42</v>
      </c>
      <c r="H434" s="100" t="n">
        <v>82</v>
      </c>
      <c r="I434" s="100" t="n">
        <v>126</v>
      </c>
      <c r="J434" s="100" t="n">
        <v>3</v>
      </c>
      <c r="K434" s="100" t="n">
        <v>29</v>
      </c>
      <c r="L434" s="100" t="n">
        <v>1</v>
      </c>
      <c r="M434" s="100" t="n">
        <v>0</v>
      </c>
      <c r="N434" s="99" t="inlineStr">
        <is>
          <t>Reorder Required</t>
        </is>
      </c>
      <c r="O434" s="100">
        <f>G434+H434</f>
        <v/>
      </c>
      <c r="P434" s="100">
        <f>G434+H434-I434-J434</f>
        <v/>
      </c>
      <c r="Q434" s="100">
        <f>MAX(0,P434)</f>
        <v/>
      </c>
      <c r="R434" s="100">
        <f>MAX(0,-P434)</f>
        <v/>
      </c>
      <c r="S434" s="101">
        <f>IFERROR(J434/O434,0)</f>
        <v/>
      </c>
      <c r="T434" s="101">
        <f>IFERROR(I434/O434,0)</f>
        <v/>
      </c>
      <c r="U434" s="102">
        <f>IF(P434&lt;=K434,"Reorder Required","Stock Sufficient")</f>
        <v/>
      </c>
      <c r="V434" s="102">
        <f>IF(AND(Q434=M434,(U434="Reorder Required")=(N434="Reorder Required")),"OK","Mismatch")</f>
        <v/>
      </c>
      <c r="W434" s="99" t="inlineStr">
        <is>
          <t>Restock immediately</t>
        </is>
      </c>
    </row>
    <row r="435">
      <c r="A435" s="99" t="inlineStr">
        <is>
          <t>INV00434</t>
        </is>
      </c>
      <c r="B435" s="99" t="inlineStr">
        <is>
          <t>OUT009</t>
        </is>
      </c>
      <c r="C435" s="99">
        <f>INDEX(Lookup!$B$2:$B$11,MATCH(B435,Lookup!$A$2:$A$11,0))</f>
        <v/>
      </c>
      <c r="D435" s="99" t="inlineStr">
        <is>
          <t>BP034</t>
        </is>
      </c>
      <c r="E435" s="99">
        <f>INDEX(Lookup!$E$2:$E$51,MATCH(D435,Lookup!$D$2:$D$51,0))</f>
        <v/>
      </c>
      <c r="F435" s="99">
        <f>INDEX(Lookup!$F$2:$F$51,MATCH(D435,Lookup!$D$2:$D$51,0))</f>
        <v/>
      </c>
      <c r="G435" s="100" t="n">
        <v>74</v>
      </c>
      <c r="H435" s="100" t="n">
        <v>58</v>
      </c>
      <c r="I435" s="100" t="n">
        <v>54</v>
      </c>
      <c r="J435" s="100" t="n">
        <v>8</v>
      </c>
      <c r="K435" s="100" t="n">
        <v>37</v>
      </c>
      <c r="L435" s="100" t="n">
        <v>3</v>
      </c>
      <c r="M435" s="100" t="n">
        <v>70</v>
      </c>
      <c r="N435" s="99" t="inlineStr">
        <is>
          <t>Healthy</t>
        </is>
      </c>
      <c r="O435" s="100">
        <f>G435+H435</f>
        <v/>
      </c>
      <c r="P435" s="100">
        <f>G435+H435-I435-J435</f>
        <v/>
      </c>
      <c r="Q435" s="100">
        <f>MAX(0,P435)</f>
        <v/>
      </c>
      <c r="R435" s="100">
        <f>MAX(0,-P435)</f>
        <v/>
      </c>
      <c r="S435" s="101">
        <f>IFERROR(J435/O435,0)</f>
        <v/>
      </c>
      <c r="T435" s="101">
        <f>IFERROR(I435/O435,0)</f>
        <v/>
      </c>
      <c r="U435" s="102">
        <f>IF(P435&lt;=K435,"Reorder Required","Stock Sufficient")</f>
        <v/>
      </c>
      <c r="V435" s="102">
        <f>IF(AND(Q435=M435,(U435="Reorder Required")=(N435="Reorder Required")),"OK","Mismatch")</f>
        <v/>
      </c>
      <c r="W435" s="99" t="n"/>
    </row>
    <row r="436">
      <c r="A436" s="99" t="inlineStr">
        <is>
          <t>INV00435</t>
        </is>
      </c>
      <c r="B436" s="99" t="inlineStr">
        <is>
          <t>OUT009</t>
        </is>
      </c>
      <c r="C436" s="99">
        <f>INDEX(Lookup!$B$2:$B$11,MATCH(B436,Lookup!$A$2:$A$11,0))</f>
        <v/>
      </c>
      <c r="D436" s="99" t="inlineStr">
        <is>
          <t>BP035</t>
        </is>
      </c>
      <c r="E436" s="99">
        <f>INDEX(Lookup!$E$2:$E$51,MATCH(D436,Lookup!$D$2:$D$51,0))</f>
        <v/>
      </c>
      <c r="F436" s="99">
        <f>INDEX(Lookup!$F$2:$F$51,MATCH(D436,Lookup!$D$2:$D$51,0))</f>
        <v/>
      </c>
      <c r="G436" s="100" t="n">
        <v>68</v>
      </c>
      <c r="H436" s="100" t="n">
        <v>58</v>
      </c>
      <c r="I436" s="100" t="n">
        <v>118</v>
      </c>
      <c r="J436" s="100" t="n">
        <v>3</v>
      </c>
      <c r="K436" s="100" t="n">
        <v>26</v>
      </c>
      <c r="L436" s="100" t="n">
        <v>1</v>
      </c>
      <c r="M436" s="100" t="n">
        <v>5</v>
      </c>
      <c r="N436" s="99" t="inlineStr">
        <is>
          <t>Reorder Required</t>
        </is>
      </c>
      <c r="O436" s="100">
        <f>G436+H436</f>
        <v/>
      </c>
      <c r="P436" s="100">
        <f>G436+H436-I436-J436</f>
        <v/>
      </c>
      <c r="Q436" s="100">
        <f>MAX(0,P436)</f>
        <v/>
      </c>
      <c r="R436" s="100">
        <f>MAX(0,-P436)</f>
        <v/>
      </c>
      <c r="S436" s="101">
        <f>IFERROR(J436/O436,0)</f>
        <v/>
      </c>
      <c r="T436" s="101">
        <f>IFERROR(I436/O436,0)</f>
        <v/>
      </c>
      <c r="U436" s="102">
        <f>IF(P436&lt;=K436,"Reorder Required","Stock Sufficient")</f>
        <v/>
      </c>
      <c r="V436" s="102">
        <f>IF(AND(Q436=M436,(U436="Reorder Required")=(N436="Reorder Required")),"OK","Mismatch")</f>
        <v/>
      </c>
      <c r="W436" s="99" t="inlineStr">
        <is>
          <t>Restock immediately</t>
        </is>
      </c>
    </row>
    <row r="437">
      <c r="A437" s="99" t="inlineStr">
        <is>
          <t>INV00436</t>
        </is>
      </c>
      <c r="B437" s="99" t="inlineStr">
        <is>
          <t>OUT009</t>
        </is>
      </c>
      <c r="C437" s="99">
        <f>INDEX(Lookup!$B$2:$B$11,MATCH(B437,Lookup!$A$2:$A$11,0))</f>
        <v/>
      </c>
      <c r="D437" s="99" t="inlineStr">
        <is>
          <t>BP036</t>
        </is>
      </c>
      <c r="E437" s="99">
        <f>INDEX(Lookup!$E$2:$E$51,MATCH(D437,Lookup!$D$2:$D$51,0))</f>
        <v/>
      </c>
      <c r="F437" s="99">
        <f>INDEX(Lookup!$F$2:$F$51,MATCH(D437,Lookup!$D$2:$D$51,0))</f>
        <v/>
      </c>
      <c r="G437" s="100" t="n">
        <v>99</v>
      </c>
      <c r="H437" s="100" t="n">
        <v>45</v>
      </c>
      <c r="I437" s="100" t="n">
        <v>73</v>
      </c>
      <c r="J437" s="100" t="n">
        <v>4</v>
      </c>
      <c r="K437" s="100" t="n">
        <v>22</v>
      </c>
      <c r="L437" s="100" t="n">
        <v>4</v>
      </c>
      <c r="M437" s="100" t="n">
        <v>67</v>
      </c>
      <c r="N437" s="99" t="inlineStr">
        <is>
          <t>Healthy</t>
        </is>
      </c>
      <c r="O437" s="100">
        <f>G437+H437</f>
        <v/>
      </c>
      <c r="P437" s="100">
        <f>G437+H437-I437-J437</f>
        <v/>
      </c>
      <c r="Q437" s="100">
        <f>MAX(0,P437)</f>
        <v/>
      </c>
      <c r="R437" s="100">
        <f>MAX(0,-P437)</f>
        <v/>
      </c>
      <c r="S437" s="101">
        <f>IFERROR(J437/O437,0)</f>
        <v/>
      </c>
      <c r="T437" s="101">
        <f>IFERROR(I437/O437,0)</f>
        <v/>
      </c>
      <c r="U437" s="102">
        <f>IF(P437&lt;=K437,"Reorder Required","Stock Sufficient")</f>
        <v/>
      </c>
      <c r="V437" s="102">
        <f>IF(AND(Q437=M437,(U437="Reorder Required")=(N437="Reorder Required")),"OK","Mismatch")</f>
        <v/>
      </c>
      <c r="W437" s="99" t="n"/>
    </row>
    <row r="438">
      <c r="A438" s="99" t="inlineStr">
        <is>
          <t>INV00437</t>
        </is>
      </c>
      <c r="B438" s="99" t="inlineStr">
        <is>
          <t>OUT009</t>
        </is>
      </c>
      <c r="C438" s="99">
        <f>INDEX(Lookup!$B$2:$B$11,MATCH(B438,Lookup!$A$2:$A$11,0))</f>
        <v/>
      </c>
      <c r="D438" s="99" t="inlineStr">
        <is>
          <t>BP037</t>
        </is>
      </c>
      <c r="E438" s="99">
        <f>INDEX(Lookup!$E$2:$E$51,MATCH(D438,Lookup!$D$2:$D$51,0))</f>
        <v/>
      </c>
      <c r="F438" s="99">
        <f>INDEX(Lookup!$F$2:$F$51,MATCH(D438,Lookup!$D$2:$D$51,0))</f>
        <v/>
      </c>
      <c r="G438" s="100" t="n">
        <v>44</v>
      </c>
      <c r="H438" s="100" t="n">
        <v>65</v>
      </c>
      <c r="I438" s="100" t="n">
        <v>53</v>
      </c>
      <c r="J438" s="100" t="n">
        <v>5</v>
      </c>
      <c r="K438" s="100" t="n">
        <v>29</v>
      </c>
      <c r="L438" s="100" t="n">
        <v>4</v>
      </c>
      <c r="M438" s="100" t="n">
        <v>51</v>
      </c>
      <c r="N438" s="99" t="inlineStr">
        <is>
          <t>Healthy</t>
        </is>
      </c>
      <c r="O438" s="100">
        <f>G438+H438</f>
        <v/>
      </c>
      <c r="P438" s="100">
        <f>G438+H438-I438-J438</f>
        <v/>
      </c>
      <c r="Q438" s="100">
        <f>MAX(0,P438)</f>
        <v/>
      </c>
      <c r="R438" s="100">
        <f>MAX(0,-P438)</f>
        <v/>
      </c>
      <c r="S438" s="101">
        <f>IFERROR(J438/O438,0)</f>
        <v/>
      </c>
      <c r="T438" s="101">
        <f>IFERROR(I438/O438,0)</f>
        <v/>
      </c>
      <c r="U438" s="102">
        <f>IF(P438&lt;=K438,"Reorder Required","Stock Sufficient")</f>
        <v/>
      </c>
      <c r="V438" s="102">
        <f>IF(AND(Q438=M438,(U438="Reorder Required")=(N438="Reorder Required")),"OK","Mismatch")</f>
        <v/>
      </c>
      <c r="W438" s="99" t="n"/>
    </row>
    <row r="439">
      <c r="A439" s="99" t="inlineStr">
        <is>
          <t>INV00438</t>
        </is>
      </c>
      <c r="B439" s="99" t="inlineStr">
        <is>
          <t>OUT009</t>
        </is>
      </c>
      <c r="C439" s="99">
        <f>INDEX(Lookup!$B$2:$B$11,MATCH(B439,Lookup!$A$2:$A$11,0))</f>
        <v/>
      </c>
      <c r="D439" s="99" t="inlineStr">
        <is>
          <t>BP038</t>
        </is>
      </c>
      <c r="E439" s="99">
        <f>INDEX(Lookup!$E$2:$E$51,MATCH(D439,Lookup!$D$2:$D$51,0))</f>
        <v/>
      </c>
      <c r="F439" s="99">
        <f>INDEX(Lookup!$F$2:$F$51,MATCH(D439,Lookup!$D$2:$D$51,0))</f>
        <v/>
      </c>
      <c r="G439" s="100" t="n">
        <v>57</v>
      </c>
      <c r="H439" s="100" t="n">
        <v>71</v>
      </c>
      <c r="I439" s="100" t="n">
        <v>84</v>
      </c>
      <c r="J439" s="100" t="n">
        <v>3</v>
      </c>
      <c r="K439" s="100" t="n">
        <v>26</v>
      </c>
      <c r="L439" s="100" t="n">
        <v>5</v>
      </c>
      <c r="M439" s="100" t="n">
        <v>41</v>
      </c>
      <c r="N439" s="99" t="inlineStr">
        <is>
          <t>Healthy</t>
        </is>
      </c>
      <c r="O439" s="100">
        <f>G439+H439</f>
        <v/>
      </c>
      <c r="P439" s="100">
        <f>G439+H439-I439-J439</f>
        <v/>
      </c>
      <c r="Q439" s="100">
        <f>MAX(0,P439)</f>
        <v/>
      </c>
      <c r="R439" s="100">
        <f>MAX(0,-P439)</f>
        <v/>
      </c>
      <c r="S439" s="101">
        <f>IFERROR(J439/O439,0)</f>
        <v/>
      </c>
      <c r="T439" s="101">
        <f>IFERROR(I439/O439,0)</f>
        <v/>
      </c>
      <c r="U439" s="102">
        <f>IF(P439&lt;=K439,"Reorder Required","Stock Sufficient")</f>
        <v/>
      </c>
      <c r="V439" s="102">
        <f>IF(AND(Q439=M439,(U439="Reorder Required")=(N439="Reorder Required")),"OK","Mismatch")</f>
        <v/>
      </c>
      <c r="W439" s="99" t="n"/>
    </row>
    <row r="440">
      <c r="A440" s="99" t="inlineStr">
        <is>
          <t>INV00439</t>
        </is>
      </c>
      <c r="B440" s="99" t="inlineStr">
        <is>
          <t>OUT009</t>
        </is>
      </c>
      <c r="C440" s="99">
        <f>INDEX(Lookup!$B$2:$B$11,MATCH(B440,Lookup!$A$2:$A$11,0))</f>
        <v/>
      </c>
      <c r="D440" s="99" t="inlineStr">
        <is>
          <t>BP039</t>
        </is>
      </c>
      <c r="E440" s="99">
        <f>INDEX(Lookup!$E$2:$E$51,MATCH(D440,Lookup!$D$2:$D$51,0))</f>
        <v/>
      </c>
      <c r="F440" s="99">
        <f>INDEX(Lookup!$F$2:$F$51,MATCH(D440,Lookup!$D$2:$D$51,0))</f>
        <v/>
      </c>
      <c r="G440" s="100" t="n">
        <v>90</v>
      </c>
      <c r="H440" s="100" t="n">
        <v>52</v>
      </c>
      <c r="I440" s="100" t="n">
        <v>36</v>
      </c>
      <c r="J440" s="100" t="n">
        <v>6</v>
      </c>
      <c r="K440" s="100" t="n">
        <v>29</v>
      </c>
      <c r="L440" s="100" t="n">
        <v>2</v>
      </c>
      <c r="M440" s="100" t="n">
        <v>100</v>
      </c>
      <c r="N440" s="99" t="inlineStr">
        <is>
          <t>Healthy</t>
        </is>
      </c>
      <c r="O440" s="100">
        <f>G440+H440</f>
        <v/>
      </c>
      <c r="P440" s="100">
        <f>G440+H440-I440-J440</f>
        <v/>
      </c>
      <c r="Q440" s="100">
        <f>MAX(0,P440)</f>
        <v/>
      </c>
      <c r="R440" s="100">
        <f>MAX(0,-P440)</f>
        <v/>
      </c>
      <c r="S440" s="101">
        <f>IFERROR(J440/O440,0)</f>
        <v/>
      </c>
      <c r="T440" s="101">
        <f>IFERROR(I440/O440,0)</f>
        <v/>
      </c>
      <c r="U440" s="102">
        <f>IF(P440&lt;=K440,"Reorder Required","Stock Sufficient")</f>
        <v/>
      </c>
      <c r="V440" s="102">
        <f>IF(AND(Q440=M440,(U440="Reorder Required")=(N440="Reorder Required")),"OK","Mismatch")</f>
        <v/>
      </c>
      <c r="W440" s="99" t="n"/>
    </row>
    <row r="441">
      <c r="A441" s="99" t="inlineStr">
        <is>
          <t>INV00440</t>
        </is>
      </c>
      <c r="B441" s="99" t="inlineStr">
        <is>
          <t>OUT009</t>
        </is>
      </c>
      <c r="C441" s="99">
        <f>INDEX(Lookup!$B$2:$B$11,MATCH(B441,Lookup!$A$2:$A$11,0))</f>
        <v/>
      </c>
      <c r="D441" s="99" t="inlineStr">
        <is>
          <t>BP040</t>
        </is>
      </c>
      <c r="E441" s="99">
        <f>INDEX(Lookup!$E$2:$E$51,MATCH(D441,Lookup!$D$2:$D$51,0))</f>
        <v/>
      </c>
      <c r="F441" s="99">
        <f>INDEX(Lookup!$F$2:$F$51,MATCH(D441,Lookup!$D$2:$D$51,0))</f>
        <v/>
      </c>
      <c r="G441" s="100" t="n">
        <v>99</v>
      </c>
      <c r="H441" s="100" t="n">
        <v>49</v>
      </c>
      <c r="I441" s="100" t="n">
        <v>140</v>
      </c>
      <c r="J441" s="100" t="n">
        <v>4</v>
      </c>
      <c r="K441" s="100" t="n">
        <v>27</v>
      </c>
      <c r="L441" s="100" t="n">
        <v>4</v>
      </c>
      <c r="M441" s="100" t="n">
        <v>4</v>
      </c>
      <c r="N441" s="99" t="inlineStr">
        <is>
          <t>Reorder Required</t>
        </is>
      </c>
      <c r="O441" s="100">
        <f>G441+H441</f>
        <v/>
      </c>
      <c r="P441" s="100">
        <f>G441+H441-I441-J441</f>
        <v/>
      </c>
      <c r="Q441" s="100">
        <f>MAX(0,P441)</f>
        <v/>
      </c>
      <c r="R441" s="100">
        <f>MAX(0,-P441)</f>
        <v/>
      </c>
      <c r="S441" s="101">
        <f>IFERROR(J441/O441,0)</f>
        <v/>
      </c>
      <c r="T441" s="101">
        <f>IFERROR(I441/O441,0)</f>
        <v/>
      </c>
      <c r="U441" s="102">
        <f>IF(P441&lt;=K441,"Reorder Required","Stock Sufficient")</f>
        <v/>
      </c>
      <c r="V441" s="102">
        <f>IF(AND(Q441=M441,(U441="Reorder Required")=(N441="Reorder Required")),"OK","Mismatch")</f>
        <v/>
      </c>
      <c r="W441" s="99" t="inlineStr">
        <is>
          <t>Restock immediately</t>
        </is>
      </c>
    </row>
    <row r="442">
      <c r="A442" s="99" t="inlineStr">
        <is>
          <t>INV00441</t>
        </is>
      </c>
      <c r="B442" s="99" t="inlineStr">
        <is>
          <t>OUT009</t>
        </is>
      </c>
      <c r="C442" s="99">
        <f>INDEX(Lookup!$B$2:$B$11,MATCH(B442,Lookup!$A$2:$A$11,0))</f>
        <v/>
      </c>
      <c r="D442" s="99" t="inlineStr">
        <is>
          <t>BP041</t>
        </is>
      </c>
      <c r="E442" s="99">
        <f>INDEX(Lookup!$E$2:$E$51,MATCH(D442,Lookup!$D$2:$D$51,0))</f>
        <v/>
      </c>
      <c r="F442" s="99">
        <f>INDEX(Lookup!$F$2:$F$51,MATCH(D442,Lookup!$D$2:$D$51,0))</f>
        <v/>
      </c>
      <c r="G442" s="100" t="n">
        <v>55</v>
      </c>
      <c r="H442" s="100" t="n">
        <v>41</v>
      </c>
      <c r="I442" s="100" t="n">
        <v>41</v>
      </c>
      <c r="J442" s="100" t="n">
        <v>1</v>
      </c>
      <c r="K442" s="100" t="n">
        <v>27</v>
      </c>
      <c r="L442" s="100" t="n">
        <v>3</v>
      </c>
      <c r="M442" s="100" t="n">
        <v>54</v>
      </c>
      <c r="N442" s="99" t="inlineStr">
        <is>
          <t>Healthy</t>
        </is>
      </c>
      <c r="O442" s="100">
        <f>G442+H442</f>
        <v/>
      </c>
      <c r="P442" s="100">
        <f>G442+H442-I442-J442</f>
        <v/>
      </c>
      <c r="Q442" s="100">
        <f>MAX(0,P442)</f>
        <v/>
      </c>
      <c r="R442" s="100">
        <f>MAX(0,-P442)</f>
        <v/>
      </c>
      <c r="S442" s="101">
        <f>IFERROR(J442/O442,0)</f>
        <v/>
      </c>
      <c r="T442" s="101">
        <f>IFERROR(I442/O442,0)</f>
        <v/>
      </c>
      <c r="U442" s="102">
        <f>IF(P442&lt;=K442,"Reorder Required","Stock Sufficient")</f>
        <v/>
      </c>
      <c r="V442" s="102">
        <f>IF(AND(Q442=M442,(U442="Reorder Required")=(N442="Reorder Required")),"OK","Mismatch")</f>
        <v/>
      </c>
      <c r="W442" s="99" t="n"/>
    </row>
    <row r="443">
      <c r="A443" s="99" t="inlineStr">
        <is>
          <t>INV00442</t>
        </is>
      </c>
      <c r="B443" s="99" t="inlineStr">
        <is>
          <t>OUT009</t>
        </is>
      </c>
      <c r="C443" s="99">
        <f>INDEX(Lookup!$B$2:$B$11,MATCH(B443,Lookup!$A$2:$A$11,0))</f>
        <v/>
      </c>
      <c r="D443" s="99" t="inlineStr">
        <is>
          <t>BP042</t>
        </is>
      </c>
      <c r="E443" s="99">
        <f>INDEX(Lookup!$E$2:$E$51,MATCH(D443,Lookup!$D$2:$D$51,0))</f>
        <v/>
      </c>
      <c r="F443" s="99">
        <f>INDEX(Lookup!$F$2:$F$51,MATCH(D443,Lookup!$D$2:$D$51,0))</f>
        <v/>
      </c>
      <c r="G443" s="100" t="n">
        <v>70</v>
      </c>
      <c r="H443" s="100" t="n">
        <v>35</v>
      </c>
      <c r="I443" s="100" t="n">
        <v>130</v>
      </c>
      <c r="J443" s="100" t="n">
        <v>1</v>
      </c>
      <c r="K443" s="100" t="n">
        <v>26</v>
      </c>
      <c r="L443" s="100" t="n">
        <v>3</v>
      </c>
      <c r="M443" s="100" t="n">
        <v>0</v>
      </c>
      <c r="N443" s="99" t="inlineStr">
        <is>
          <t>Reorder Required</t>
        </is>
      </c>
      <c r="O443" s="100">
        <f>G443+H443</f>
        <v/>
      </c>
      <c r="P443" s="100">
        <f>G443+H443-I443-J443</f>
        <v/>
      </c>
      <c r="Q443" s="100">
        <f>MAX(0,P443)</f>
        <v/>
      </c>
      <c r="R443" s="100">
        <f>MAX(0,-P443)</f>
        <v/>
      </c>
      <c r="S443" s="101">
        <f>IFERROR(J443/O443,0)</f>
        <v/>
      </c>
      <c r="T443" s="101">
        <f>IFERROR(I443/O443,0)</f>
        <v/>
      </c>
      <c r="U443" s="102">
        <f>IF(P443&lt;=K443,"Reorder Required","Stock Sufficient")</f>
        <v/>
      </c>
      <c r="V443" s="102">
        <f>IF(AND(Q443=M443,(U443="Reorder Required")=(N443="Reorder Required")),"OK","Mismatch")</f>
        <v/>
      </c>
      <c r="W443" s="99" t="inlineStr">
        <is>
          <t>Restock immediately</t>
        </is>
      </c>
    </row>
    <row r="444">
      <c r="A444" s="99" t="inlineStr">
        <is>
          <t>INV00443</t>
        </is>
      </c>
      <c r="B444" s="99" t="inlineStr">
        <is>
          <t>OUT009</t>
        </is>
      </c>
      <c r="C444" s="99">
        <f>INDEX(Lookup!$B$2:$B$11,MATCH(B444,Lookup!$A$2:$A$11,0))</f>
        <v/>
      </c>
      <c r="D444" s="99" t="inlineStr">
        <is>
          <t>BP043</t>
        </is>
      </c>
      <c r="E444" s="99">
        <f>INDEX(Lookup!$E$2:$E$51,MATCH(D444,Lookup!$D$2:$D$51,0))</f>
        <v/>
      </c>
      <c r="F444" s="99">
        <f>INDEX(Lookup!$F$2:$F$51,MATCH(D444,Lookup!$D$2:$D$51,0))</f>
        <v/>
      </c>
      <c r="G444" s="100" t="n">
        <v>111</v>
      </c>
      <c r="H444" s="100" t="n">
        <v>41</v>
      </c>
      <c r="I444" s="100" t="n">
        <v>128</v>
      </c>
      <c r="J444" s="100" t="n">
        <v>3</v>
      </c>
      <c r="K444" s="100" t="n">
        <v>37</v>
      </c>
      <c r="L444" s="100" t="n">
        <v>4</v>
      </c>
      <c r="M444" s="100" t="n">
        <v>21</v>
      </c>
      <c r="N444" s="99" t="inlineStr">
        <is>
          <t>Reorder Required</t>
        </is>
      </c>
      <c r="O444" s="100">
        <f>G444+H444</f>
        <v/>
      </c>
      <c r="P444" s="100">
        <f>G444+H444-I444-J444</f>
        <v/>
      </c>
      <c r="Q444" s="100">
        <f>MAX(0,P444)</f>
        <v/>
      </c>
      <c r="R444" s="100">
        <f>MAX(0,-P444)</f>
        <v/>
      </c>
      <c r="S444" s="101">
        <f>IFERROR(J444/O444,0)</f>
        <v/>
      </c>
      <c r="T444" s="101">
        <f>IFERROR(I444/O444,0)</f>
        <v/>
      </c>
      <c r="U444" s="102">
        <f>IF(P444&lt;=K444,"Reorder Required","Stock Sufficient")</f>
        <v/>
      </c>
      <c r="V444" s="102">
        <f>IF(AND(Q444=M444,(U444="Reorder Required")=(N444="Reorder Required")),"OK","Mismatch")</f>
        <v/>
      </c>
      <c r="W444" s="99" t="inlineStr">
        <is>
          <t>Restock immediately</t>
        </is>
      </c>
    </row>
    <row r="445">
      <c r="A445" s="99" t="inlineStr">
        <is>
          <t>INV00444</t>
        </is>
      </c>
      <c r="B445" s="99" t="inlineStr">
        <is>
          <t>OUT009</t>
        </is>
      </c>
      <c r="C445" s="99">
        <f>INDEX(Lookup!$B$2:$B$11,MATCH(B445,Lookup!$A$2:$A$11,0))</f>
        <v/>
      </c>
      <c r="D445" s="99" t="inlineStr">
        <is>
          <t>BP044</t>
        </is>
      </c>
      <c r="E445" s="99">
        <f>INDEX(Lookup!$E$2:$E$51,MATCH(D445,Lookup!$D$2:$D$51,0))</f>
        <v/>
      </c>
      <c r="F445" s="99">
        <f>INDEX(Lookup!$F$2:$F$51,MATCH(D445,Lookup!$D$2:$D$51,0))</f>
        <v/>
      </c>
      <c r="G445" s="100" t="n">
        <v>66</v>
      </c>
      <c r="H445" s="100" t="n">
        <v>56</v>
      </c>
      <c r="I445" s="100" t="n">
        <v>33</v>
      </c>
      <c r="J445" s="100" t="n">
        <v>3</v>
      </c>
      <c r="K445" s="100" t="n">
        <v>18</v>
      </c>
      <c r="L445" s="100" t="n">
        <v>2</v>
      </c>
      <c r="M445" s="100" t="n">
        <v>86</v>
      </c>
      <c r="N445" s="99" t="inlineStr">
        <is>
          <t>Healthy</t>
        </is>
      </c>
      <c r="O445" s="100">
        <f>G445+H445</f>
        <v/>
      </c>
      <c r="P445" s="100">
        <f>G445+H445-I445-J445</f>
        <v/>
      </c>
      <c r="Q445" s="100">
        <f>MAX(0,P445)</f>
        <v/>
      </c>
      <c r="R445" s="100">
        <f>MAX(0,-P445)</f>
        <v/>
      </c>
      <c r="S445" s="101">
        <f>IFERROR(J445/O445,0)</f>
        <v/>
      </c>
      <c r="T445" s="101">
        <f>IFERROR(I445/O445,0)</f>
        <v/>
      </c>
      <c r="U445" s="102">
        <f>IF(P445&lt;=K445,"Reorder Required","Stock Sufficient")</f>
        <v/>
      </c>
      <c r="V445" s="102">
        <f>IF(AND(Q445=M445,(U445="Reorder Required")=(N445="Reorder Required")),"OK","Mismatch")</f>
        <v/>
      </c>
      <c r="W445" s="99" t="n"/>
    </row>
    <row r="446">
      <c r="A446" s="99" t="inlineStr">
        <is>
          <t>INV00445</t>
        </is>
      </c>
      <c r="B446" s="99" t="inlineStr">
        <is>
          <t>OUT009</t>
        </is>
      </c>
      <c r="C446" s="99">
        <f>INDEX(Lookup!$B$2:$B$11,MATCH(B446,Lookup!$A$2:$A$11,0))</f>
        <v/>
      </c>
      <c r="D446" s="99" t="inlineStr">
        <is>
          <t>BP045</t>
        </is>
      </c>
      <c r="E446" s="99">
        <f>INDEX(Lookup!$E$2:$E$51,MATCH(D446,Lookup!$D$2:$D$51,0))</f>
        <v/>
      </c>
      <c r="F446" s="99">
        <f>INDEX(Lookup!$F$2:$F$51,MATCH(D446,Lookup!$D$2:$D$51,0))</f>
        <v/>
      </c>
      <c r="G446" s="100" t="n">
        <v>98</v>
      </c>
      <c r="H446" s="100" t="n">
        <v>59</v>
      </c>
      <c r="I446" s="100" t="n">
        <v>132</v>
      </c>
      <c r="J446" s="100" t="n">
        <v>1</v>
      </c>
      <c r="K446" s="100" t="n">
        <v>33</v>
      </c>
      <c r="L446" s="100" t="n">
        <v>2</v>
      </c>
      <c r="M446" s="100" t="n">
        <v>24</v>
      </c>
      <c r="N446" s="99" t="inlineStr">
        <is>
          <t>Reorder Required</t>
        </is>
      </c>
      <c r="O446" s="100">
        <f>G446+H446</f>
        <v/>
      </c>
      <c r="P446" s="100">
        <f>G446+H446-I446-J446</f>
        <v/>
      </c>
      <c r="Q446" s="100">
        <f>MAX(0,P446)</f>
        <v/>
      </c>
      <c r="R446" s="100">
        <f>MAX(0,-P446)</f>
        <v/>
      </c>
      <c r="S446" s="101">
        <f>IFERROR(J446/O446,0)</f>
        <v/>
      </c>
      <c r="T446" s="101">
        <f>IFERROR(I446/O446,0)</f>
        <v/>
      </c>
      <c r="U446" s="102">
        <f>IF(P446&lt;=K446,"Reorder Required","Stock Sufficient")</f>
        <v/>
      </c>
      <c r="V446" s="102">
        <f>IF(AND(Q446=M446,(U446="Reorder Required")=(N446="Reorder Required")),"OK","Mismatch")</f>
        <v/>
      </c>
      <c r="W446" s="99" t="inlineStr">
        <is>
          <t>Restock immediately</t>
        </is>
      </c>
    </row>
    <row r="447">
      <c r="A447" s="99" t="inlineStr">
        <is>
          <t>INV00446</t>
        </is>
      </c>
      <c r="B447" s="99" t="inlineStr">
        <is>
          <t>OUT009</t>
        </is>
      </c>
      <c r="C447" s="99">
        <f>INDEX(Lookup!$B$2:$B$11,MATCH(B447,Lookup!$A$2:$A$11,0))</f>
        <v/>
      </c>
      <c r="D447" s="99" t="inlineStr">
        <is>
          <t>BP046</t>
        </is>
      </c>
      <c r="E447" s="99">
        <f>INDEX(Lookup!$E$2:$E$51,MATCH(D447,Lookup!$D$2:$D$51,0))</f>
        <v/>
      </c>
      <c r="F447" s="99">
        <f>INDEX(Lookup!$F$2:$F$51,MATCH(D447,Lookup!$D$2:$D$51,0))</f>
        <v/>
      </c>
      <c r="G447" s="100" t="n">
        <v>53</v>
      </c>
      <c r="H447" s="100" t="n">
        <v>65</v>
      </c>
      <c r="I447" s="100" t="n">
        <v>83</v>
      </c>
      <c r="J447" s="100" t="n">
        <v>3</v>
      </c>
      <c r="K447" s="100" t="n">
        <v>33</v>
      </c>
      <c r="L447" s="100" t="n">
        <v>3</v>
      </c>
      <c r="M447" s="100" t="n">
        <v>32</v>
      </c>
      <c r="N447" s="99" t="inlineStr">
        <is>
          <t>Reorder Required</t>
        </is>
      </c>
      <c r="O447" s="100">
        <f>G447+H447</f>
        <v/>
      </c>
      <c r="P447" s="100">
        <f>G447+H447-I447-J447</f>
        <v/>
      </c>
      <c r="Q447" s="100">
        <f>MAX(0,P447)</f>
        <v/>
      </c>
      <c r="R447" s="100">
        <f>MAX(0,-P447)</f>
        <v/>
      </c>
      <c r="S447" s="101">
        <f>IFERROR(J447/O447,0)</f>
        <v/>
      </c>
      <c r="T447" s="101">
        <f>IFERROR(I447/O447,0)</f>
        <v/>
      </c>
      <c r="U447" s="102">
        <f>IF(P447&lt;=K447,"Reorder Required","Stock Sufficient")</f>
        <v/>
      </c>
      <c r="V447" s="102">
        <f>IF(AND(Q447=M447,(U447="Reorder Required")=(N447="Reorder Required")),"OK","Mismatch")</f>
        <v/>
      </c>
      <c r="W447" s="99" t="inlineStr">
        <is>
          <t>Restock immediately</t>
        </is>
      </c>
    </row>
    <row r="448">
      <c r="A448" s="99" t="inlineStr">
        <is>
          <t>INV00447</t>
        </is>
      </c>
      <c r="B448" s="99" t="inlineStr">
        <is>
          <t>OUT009</t>
        </is>
      </c>
      <c r="C448" s="99">
        <f>INDEX(Lookup!$B$2:$B$11,MATCH(B448,Lookup!$A$2:$A$11,0))</f>
        <v/>
      </c>
      <c r="D448" s="99" t="inlineStr">
        <is>
          <t>BP047</t>
        </is>
      </c>
      <c r="E448" s="99">
        <f>INDEX(Lookup!$E$2:$E$51,MATCH(D448,Lookup!$D$2:$D$51,0))</f>
        <v/>
      </c>
      <c r="F448" s="99">
        <f>INDEX(Lookup!$F$2:$F$51,MATCH(D448,Lookup!$D$2:$D$51,0))</f>
        <v/>
      </c>
      <c r="G448" s="100" t="n">
        <v>130</v>
      </c>
      <c r="H448" s="100" t="n">
        <v>88</v>
      </c>
      <c r="I448" s="100" t="n">
        <v>120</v>
      </c>
      <c r="J448" s="100" t="n">
        <v>2</v>
      </c>
      <c r="K448" s="100" t="n">
        <v>37</v>
      </c>
      <c r="L448" s="100" t="n">
        <v>2</v>
      </c>
      <c r="M448" s="100" t="n">
        <v>96</v>
      </c>
      <c r="N448" s="99" t="inlineStr">
        <is>
          <t>Healthy</t>
        </is>
      </c>
      <c r="O448" s="100">
        <f>G448+H448</f>
        <v/>
      </c>
      <c r="P448" s="100">
        <f>G448+H448-I448-J448</f>
        <v/>
      </c>
      <c r="Q448" s="100">
        <f>MAX(0,P448)</f>
        <v/>
      </c>
      <c r="R448" s="100">
        <f>MAX(0,-P448)</f>
        <v/>
      </c>
      <c r="S448" s="101">
        <f>IFERROR(J448/O448,0)</f>
        <v/>
      </c>
      <c r="T448" s="101">
        <f>IFERROR(I448/O448,0)</f>
        <v/>
      </c>
      <c r="U448" s="102">
        <f>IF(P448&lt;=K448,"Reorder Required","Stock Sufficient")</f>
        <v/>
      </c>
      <c r="V448" s="102">
        <f>IF(AND(Q448=M448,(U448="Reorder Required")=(N448="Reorder Required")),"OK","Mismatch")</f>
        <v/>
      </c>
      <c r="W448" s="99" t="n"/>
    </row>
    <row r="449">
      <c r="A449" s="99" t="inlineStr">
        <is>
          <t>INV00448</t>
        </is>
      </c>
      <c r="B449" s="99" t="inlineStr">
        <is>
          <t>OUT009</t>
        </is>
      </c>
      <c r="C449" s="99">
        <f>INDEX(Lookup!$B$2:$B$11,MATCH(B449,Lookup!$A$2:$A$11,0))</f>
        <v/>
      </c>
      <c r="D449" s="99" t="inlineStr">
        <is>
          <t>BP048</t>
        </is>
      </c>
      <c r="E449" s="99">
        <f>INDEX(Lookup!$E$2:$E$51,MATCH(D449,Lookup!$D$2:$D$51,0))</f>
        <v/>
      </c>
      <c r="F449" s="99">
        <f>INDEX(Lookup!$F$2:$F$51,MATCH(D449,Lookup!$D$2:$D$51,0))</f>
        <v/>
      </c>
      <c r="G449" s="100" t="n">
        <v>66</v>
      </c>
      <c r="H449" s="100" t="n">
        <v>33</v>
      </c>
      <c r="I449" s="100" t="n">
        <v>51</v>
      </c>
      <c r="J449" s="100" t="n">
        <v>0</v>
      </c>
      <c r="K449" s="100" t="n">
        <v>23</v>
      </c>
      <c r="L449" s="100" t="n">
        <v>5</v>
      </c>
      <c r="M449" s="100" t="n">
        <v>48</v>
      </c>
      <c r="N449" s="99" t="inlineStr">
        <is>
          <t>Healthy</t>
        </is>
      </c>
      <c r="O449" s="100">
        <f>G449+H449</f>
        <v/>
      </c>
      <c r="P449" s="100">
        <f>G449+H449-I449-J449</f>
        <v/>
      </c>
      <c r="Q449" s="100">
        <f>MAX(0,P449)</f>
        <v/>
      </c>
      <c r="R449" s="100">
        <f>MAX(0,-P449)</f>
        <v/>
      </c>
      <c r="S449" s="101">
        <f>IFERROR(J449/O449,0)</f>
        <v/>
      </c>
      <c r="T449" s="101">
        <f>IFERROR(I449/O449,0)</f>
        <v/>
      </c>
      <c r="U449" s="102">
        <f>IF(P449&lt;=K449,"Reorder Required","Stock Sufficient")</f>
        <v/>
      </c>
      <c r="V449" s="102">
        <f>IF(AND(Q449=M449,(U449="Reorder Required")=(N449="Reorder Required")),"OK","Mismatch")</f>
        <v/>
      </c>
      <c r="W449" s="99" t="n"/>
    </row>
    <row r="450">
      <c r="A450" s="99" t="inlineStr">
        <is>
          <t>INV00449</t>
        </is>
      </c>
      <c r="B450" s="99" t="inlineStr">
        <is>
          <t>OUT009</t>
        </is>
      </c>
      <c r="C450" s="99">
        <f>INDEX(Lookup!$B$2:$B$11,MATCH(B450,Lookup!$A$2:$A$11,0))</f>
        <v/>
      </c>
      <c r="D450" s="99" t="inlineStr">
        <is>
          <t>BP049</t>
        </is>
      </c>
      <c r="E450" s="99">
        <f>INDEX(Lookup!$E$2:$E$51,MATCH(D450,Lookup!$D$2:$D$51,0))</f>
        <v/>
      </c>
      <c r="F450" s="99">
        <f>INDEX(Lookup!$F$2:$F$51,MATCH(D450,Lookup!$D$2:$D$51,0))</f>
        <v/>
      </c>
      <c r="G450" s="100" t="n">
        <v>73</v>
      </c>
      <c r="H450" s="100" t="n">
        <v>48</v>
      </c>
      <c r="I450" s="100" t="n">
        <v>139</v>
      </c>
      <c r="J450" s="100" t="n">
        <v>1</v>
      </c>
      <c r="K450" s="100" t="n">
        <v>19</v>
      </c>
      <c r="L450" s="100" t="n">
        <v>4</v>
      </c>
      <c r="M450" s="100" t="n">
        <v>0</v>
      </c>
      <c r="N450" s="99" t="inlineStr">
        <is>
          <t>Reorder Required</t>
        </is>
      </c>
      <c r="O450" s="100">
        <f>G450+H450</f>
        <v/>
      </c>
      <c r="P450" s="100">
        <f>G450+H450-I450-J450</f>
        <v/>
      </c>
      <c r="Q450" s="100">
        <f>MAX(0,P450)</f>
        <v/>
      </c>
      <c r="R450" s="100">
        <f>MAX(0,-P450)</f>
        <v/>
      </c>
      <c r="S450" s="101">
        <f>IFERROR(J450/O450,0)</f>
        <v/>
      </c>
      <c r="T450" s="101">
        <f>IFERROR(I450/O450,0)</f>
        <v/>
      </c>
      <c r="U450" s="102">
        <f>IF(P450&lt;=K450,"Reorder Required","Stock Sufficient")</f>
        <v/>
      </c>
      <c r="V450" s="102">
        <f>IF(AND(Q450=M450,(U450="Reorder Required")=(N450="Reorder Required")),"OK","Mismatch")</f>
        <v/>
      </c>
      <c r="W450" s="99" t="inlineStr">
        <is>
          <t>Restock immediately</t>
        </is>
      </c>
    </row>
    <row r="451">
      <c r="A451" s="99" t="inlineStr">
        <is>
          <t>INV00450</t>
        </is>
      </c>
      <c r="B451" s="99" t="inlineStr">
        <is>
          <t>OUT009</t>
        </is>
      </c>
      <c r="C451" s="99">
        <f>INDEX(Lookup!$B$2:$B$11,MATCH(B451,Lookup!$A$2:$A$11,0))</f>
        <v/>
      </c>
      <c r="D451" s="99" t="inlineStr">
        <is>
          <t>BP050</t>
        </is>
      </c>
      <c r="E451" s="99">
        <f>INDEX(Lookup!$E$2:$E$51,MATCH(D451,Lookup!$D$2:$D$51,0))</f>
        <v/>
      </c>
      <c r="F451" s="99">
        <f>INDEX(Lookup!$F$2:$F$51,MATCH(D451,Lookup!$D$2:$D$51,0))</f>
        <v/>
      </c>
      <c r="G451" s="100" t="n">
        <v>148</v>
      </c>
      <c r="H451" s="100" t="n">
        <v>68</v>
      </c>
      <c r="I451" s="100" t="n">
        <v>48</v>
      </c>
      <c r="J451" s="100" t="n">
        <v>3</v>
      </c>
      <c r="K451" s="100" t="n">
        <v>24</v>
      </c>
      <c r="L451" s="100" t="n">
        <v>5</v>
      </c>
      <c r="M451" s="100" t="n">
        <v>165</v>
      </c>
      <c r="N451" s="99" t="inlineStr">
        <is>
          <t>Healthy</t>
        </is>
      </c>
      <c r="O451" s="100">
        <f>G451+H451</f>
        <v/>
      </c>
      <c r="P451" s="100">
        <f>G451+H451-I451-J451</f>
        <v/>
      </c>
      <c r="Q451" s="100">
        <f>MAX(0,P451)</f>
        <v/>
      </c>
      <c r="R451" s="100">
        <f>MAX(0,-P451)</f>
        <v/>
      </c>
      <c r="S451" s="101">
        <f>IFERROR(J451/O451,0)</f>
        <v/>
      </c>
      <c r="T451" s="101">
        <f>IFERROR(I451/O451,0)</f>
        <v/>
      </c>
      <c r="U451" s="102">
        <f>IF(P451&lt;=K451,"Reorder Required","Stock Sufficient")</f>
        <v/>
      </c>
      <c r="V451" s="102">
        <f>IF(AND(Q451=M451,(U451="Reorder Required")=(N451="Reorder Required")),"OK","Mismatch")</f>
        <v/>
      </c>
      <c r="W451" s="99" t="n"/>
    </row>
    <row r="452">
      <c r="A452" s="99" t="inlineStr">
        <is>
          <t>INV00451</t>
        </is>
      </c>
      <c r="B452" s="99" t="inlineStr">
        <is>
          <t>OUT010</t>
        </is>
      </c>
      <c r="C452" s="99">
        <f>INDEX(Lookup!$B$2:$B$11,MATCH(B452,Lookup!$A$2:$A$11,0))</f>
        <v/>
      </c>
      <c r="D452" s="99" t="inlineStr">
        <is>
          <t>BP001</t>
        </is>
      </c>
      <c r="E452" s="99">
        <f>INDEX(Lookup!$E$2:$E$51,MATCH(D452,Lookup!$D$2:$D$51,0))</f>
        <v/>
      </c>
      <c r="F452" s="99">
        <f>INDEX(Lookup!$F$2:$F$51,MATCH(D452,Lookup!$D$2:$D$51,0))</f>
        <v/>
      </c>
      <c r="G452" s="100" t="n">
        <v>118</v>
      </c>
      <c r="H452" s="100" t="n">
        <v>45</v>
      </c>
      <c r="I452" s="100" t="n">
        <v>81</v>
      </c>
      <c r="J452" s="100" t="n">
        <v>2</v>
      </c>
      <c r="K452" s="100" t="n">
        <v>35</v>
      </c>
      <c r="L452" s="100" t="n">
        <v>5</v>
      </c>
      <c r="M452" s="100" t="n">
        <v>80</v>
      </c>
      <c r="N452" s="99" t="inlineStr">
        <is>
          <t>Healthy</t>
        </is>
      </c>
      <c r="O452" s="100">
        <f>G452+H452</f>
        <v/>
      </c>
      <c r="P452" s="100">
        <f>G452+H452-I452-J452</f>
        <v/>
      </c>
      <c r="Q452" s="100">
        <f>MAX(0,P452)</f>
        <v/>
      </c>
      <c r="R452" s="100">
        <f>MAX(0,-P452)</f>
        <v/>
      </c>
      <c r="S452" s="101">
        <f>IFERROR(J452/O452,0)</f>
        <v/>
      </c>
      <c r="T452" s="101">
        <f>IFERROR(I452/O452,0)</f>
        <v/>
      </c>
      <c r="U452" s="102">
        <f>IF(P452&lt;=K452,"Reorder Required","Stock Sufficient")</f>
        <v/>
      </c>
      <c r="V452" s="102">
        <f>IF(AND(Q452=M452,(U452="Reorder Required")=(N452="Reorder Required")),"OK","Mismatch")</f>
        <v/>
      </c>
      <c r="W452" s="99" t="n"/>
    </row>
    <row r="453">
      <c r="A453" s="99" t="inlineStr">
        <is>
          <t>INV00452</t>
        </is>
      </c>
      <c r="B453" s="99" t="inlineStr">
        <is>
          <t>OUT010</t>
        </is>
      </c>
      <c r="C453" s="99">
        <f>INDEX(Lookup!$B$2:$B$11,MATCH(B453,Lookup!$A$2:$A$11,0))</f>
        <v/>
      </c>
      <c r="D453" s="99" t="inlineStr">
        <is>
          <t>BP002</t>
        </is>
      </c>
      <c r="E453" s="99">
        <f>INDEX(Lookup!$E$2:$E$51,MATCH(D453,Lookup!$D$2:$D$51,0))</f>
        <v/>
      </c>
      <c r="F453" s="99">
        <f>INDEX(Lookup!$F$2:$F$51,MATCH(D453,Lookup!$D$2:$D$51,0))</f>
        <v/>
      </c>
      <c r="G453" s="100" t="n">
        <v>150</v>
      </c>
      <c r="H453" s="100" t="n">
        <v>64</v>
      </c>
      <c r="I453" s="100" t="n">
        <v>89</v>
      </c>
      <c r="J453" s="100" t="n">
        <v>1</v>
      </c>
      <c r="K453" s="100" t="n">
        <v>29</v>
      </c>
      <c r="L453" s="100" t="n">
        <v>5</v>
      </c>
      <c r="M453" s="100" t="n">
        <v>124</v>
      </c>
      <c r="N453" s="99" t="inlineStr">
        <is>
          <t>Healthy</t>
        </is>
      </c>
      <c r="O453" s="100">
        <f>G453+H453</f>
        <v/>
      </c>
      <c r="P453" s="100">
        <f>G453+H453-I453-J453</f>
        <v/>
      </c>
      <c r="Q453" s="100">
        <f>MAX(0,P453)</f>
        <v/>
      </c>
      <c r="R453" s="100">
        <f>MAX(0,-P453)</f>
        <v/>
      </c>
      <c r="S453" s="101">
        <f>IFERROR(J453/O453,0)</f>
        <v/>
      </c>
      <c r="T453" s="101">
        <f>IFERROR(I453/O453,0)</f>
        <v/>
      </c>
      <c r="U453" s="102">
        <f>IF(P453&lt;=K453,"Reorder Required","Stock Sufficient")</f>
        <v/>
      </c>
      <c r="V453" s="102">
        <f>IF(AND(Q453=M453,(U453="Reorder Required")=(N453="Reorder Required")),"OK","Mismatch")</f>
        <v/>
      </c>
      <c r="W453" s="99" t="n"/>
    </row>
    <row r="454">
      <c r="A454" s="99" t="inlineStr">
        <is>
          <t>INV00453</t>
        </is>
      </c>
      <c r="B454" s="99" t="inlineStr">
        <is>
          <t>OUT010</t>
        </is>
      </c>
      <c r="C454" s="99">
        <f>INDEX(Lookup!$B$2:$B$11,MATCH(B454,Lookup!$A$2:$A$11,0))</f>
        <v/>
      </c>
      <c r="D454" s="99" t="inlineStr">
        <is>
          <t>BP003</t>
        </is>
      </c>
      <c r="E454" s="99">
        <f>INDEX(Lookup!$E$2:$E$51,MATCH(D454,Lookup!$D$2:$D$51,0))</f>
        <v/>
      </c>
      <c r="F454" s="99">
        <f>INDEX(Lookup!$F$2:$F$51,MATCH(D454,Lookup!$D$2:$D$51,0))</f>
        <v/>
      </c>
      <c r="G454" s="100" t="n">
        <v>78</v>
      </c>
      <c r="H454" s="100" t="n">
        <v>48</v>
      </c>
      <c r="I454" s="100" t="n">
        <v>34</v>
      </c>
      <c r="J454" s="100" t="n">
        <v>1</v>
      </c>
      <c r="K454" s="100" t="n">
        <v>32</v>
      </c>
      <c r="L454" s="100" t="n">
        <v>3</v>
      </c>
      <c r="M454" s="100" t="n">
        <v>91</v>
      </c>
      <c r="N454" s="99" t="inlineStr">
        <is>
          <t>Healthy</t>
        </is>
      </c>
      <c r="O454" s="100">
        <f>G454+H454</f>
        <v/>
      </c>
      <c r="P454" s="100">
        <f>G454+H454-I454-J454</f>
        <v/>
      </c>
      <c r="Q454" s="100">
        <f>MAX(0,P454)</f>
        <v/>
      </c>
      <c r="R454" s="100">
        <f>MAX(0,-P454)</f>
        <v/>
      </c>
      <c r="S454" s="101">
        <f>IFERROR(J454/O454,0)</f>
        <v/>
      </c>
      <c r="T454" s="101">
        <f>IFERROR(I454/O454,0)</f>
        <v/>
      </c>
      <c r="U454" s="102">
        <f>IF(P454&lt;=K454,"Reorder Required","Stock Sufficient")</f>
        <v/>
      </c>
      <c r="V454" s="102">
        <f>IF(AND(Q454=M454,(U454="Reorder Required")=(N454="Reorder Required")),"OK","Mismatch")</f>
        <v/>
      </c>
      <c r="W454" s="99" t="n"/>
    </row>
    <row r="455">
      <c r="A455" s="99" t="inlineStr">
        <is>
          <t>INV00454</t>
        </is>
      </c>
      <c r="B455" s="99" t="inlineStr">
        <is>
          <t>OUT010</t>
        </is>
      </c>
      <c r="C455" s="99">
        <f>INDEX(Lookup!$B$2:$B$11,MATCH(B455,Lookup!$A$2:$A$11,0))</f>
        <v/>
      </c>
      <c r="D455" s="99" t="inlineStr">
        <is>
          <t>BP004</t>
        </is>
      </c>
      <c r="E455" s="99">
        <f>INDEX(Lookup!$E$2:$E$51,MATCH(D455,Lookup!$D$2:$D$51,0))</f>
        <v/>
      </c>
      <c r="F455" s="99">
        <f>INDEX(Lookup!$F$2:$F$51,MATCH(D455,Lookup!$D$2:$D$51,0))</f>
        <v/>
      </c>
      <c r="G455" s="100" t="n">
        <v>88</v>
      </c>
      <c r="H455" s="100" t="n">
        <v>33</v>
      </c>
      <c r="I455" s="100" t="n">
        <v>125</v>
      </c>
      <c r="J455" s="100" t="n">
        <v>3</v>
      </c>
      <c r="K455" s="100" t="n">
        <v>27</v>
      </c>
      <c r="L455" s="100" t="n">
        <v>2</v>
      </c>
      <c r="M455" s="100" t="n">
        <v>0</v>
      </c>
      <c r="N455" s="99" t="inlineStr">
        <is>
          <t>Reorder Required</t>
        </is>
      </c>
      <c r="O455" s="100">
        <f>G455+H455</f>
        <v/>
      </c>
      <c r="P455" s="100">
        <f>G455+H455-I455-J455</f>
        <v/>
      </c>
      <c r="Q455" s="100">
        <f>MAX(0,P455)</f>
        <v/>
      </c>
      <c r="R455" s="100">
        <f>MAX(0,-P455)</f>
        <v/>
      </c>
      <c r="S455" s="101">
        <f>IFERROR(J455/O455,0)</f>
        <v/>
      </c>
      <c r="T455" s="101">
        <f>IFERROR(I455/O455,0)</f>
        <v/>
      </c>
      <c r="U455" s="102">
        <f>IF(P455&lt;=K455,"Reorder Required","Stock Sufficient")</f>
        <v/>
      </c>
      <c r="V455" s="102">
        <f>IF(AND(Q455=M455,(U455="Reorder Required")=(N455="Reorder Required")),"OK","Mismatch")</f>
        <v/>
      </c>
      <c r="W455" s="99" t="inlineStr">
        <is>
          <t>Restock immediately</t>
        </is>
      </c>
    </row>
    <row r="456">
      <c r="A456" s="99" t="inlineStr">
        <is>
          <t>INV00455</t>
        </is>
      </c>
      <c r="B456" s="99" t="inlineStr">
        <is>
          <t>OUT010</t>
        </is>
      </c>
      <c r="C456" s="99">
        <f>INDEX(Lookup!$B$2:$B$11,MATCH(B456,Lookup!$A$2:$A$11,0))</f>
        <v/>
      </c>
      <c r="D456" s="99" t="inlineStr">
        <is>
          <t>BP005</t>
        </is>
      </c>
      <c r="E456" s="99">
        <f>INDEX(Lookup!$E$2:$E$51,MATCH(D456,Lookup!$D$2:$D$51,0))</f>
        <v/>
      </c>
      <c r="F456" s="99">
        <f>INDEX(Lookup!$F$2:$F$51,MATCH(D456,Lookup!$D$2:$D$51,0))</f>
        <v/>
      </c>
      <c r="G456" s="100" t="n">
        <v>61</v>
      </c>
      <c r="H456" s="100" t="n">
        <v>80</v>
      </c>
      <c r="I456" s="100" t="n">
        <v>100</v>
      </c>
      <c r="J456" s="100" t="n">
        <v>2</v>
      </c>
      <c r="K456" s="100" t="n">
        <v>37</v>
      </c>
      <c r="L456" s="100" t="n">
        <v>5</v>
      </c>
      <c r="M456" s="100" t="n">
        <v>39</v>
      </c>
      <c r="N456" s="99" t="inlineStr">
        <is>
          <t>Healthy</t>
        </is>
      </c>
      <c r="O456" s="100">
        <f>G456+H456</f>
        <v/>
      </c>
      <c r="P456" s="100">
        <f>G456+H456-I456-J456</f>
        <v/>
      </c>
      <c r="Q456" s="100">
        <f>MAX(0,P456)</f>
        <v/>
      </c>
      <c r="R456" s="100">
        <f>MAX(0,-P456)</f>
        <v/>
      </c>
      <c r="S456" s="101">
        <f>IFERROR(J456/O456,0)</f>
        <v/>
      </c>
      <c r="T456" s="101">
        <f>IFERROR(I456/O456,0)</f>
        <v/>
      </c>
      <c r="U456" s="102">
        <f>IF(P456&lt;=K456,"Reorder Required","Stock Sufficient")</f>
        <v/>
      </c>
      <c r="V456" s="102">
        <f>IF(AND(Q456=M456,(U456="Reorder Required")=(N456="Reorder Required")),"OK","Mismatch")</f>
        <v/>
      </c>
      <c r="W456" s="99" t="n"/>
    </row>
    <row r="457">
      <c r="A457" s="99" t="inlineStr">
        <is>
          <t>INV00456</t>
        </is>
      </c>
      <c r="B457" s="99" t="inlineStr">
        <is>
          <t>OUT010</t>
        </is>
      </c>
      <c r="C457" s="99">
        <f>INDEX(Lookup!$B$2:$B$11,MATCH(B457,Lookup!$A$2:$A$11,0))</f>
        <v/>
      </c>
      <c r="D457" s="99" t="inlineStr">
        <is>
          <t>BP006</t>
        </is>
      </c>
      <c r="E457" s="99">
        <f>INDEX(Lookup!$E$2:$E$51,MATCH(D457,Lookup!$D$2:$D$51,0))</f>
        <v/>
      </c>
      <c r="F457" s="99">
        <f>INDEX(Lookup!$F$2:$F$51,MATCH(D457,Lookup!$D$2:$D$51,0))</f>
        <v/>
      </c>
      <c r="G457" s="100" t="n">
        <v>97</v>
      </c>
      <c r="H457" s="100" t="n">
        <v>33</v>
      </c>
      <c r="I457" s="100" t="n">
        <v>97</v>
      </c>
      <c r="J457" s="100" t="n">
        <v>0</v>
      </c>
      <c r="K457" s="100" t="n">
        <v>31</v>
      </c>
      <c r="L457" s="100" t="n">
        <v>5</v>
      </c>
      <c r="M457" s="100" t="n">
        <v>33</v>
      </c>
      <c r="N457" s="99" t="inlineStr">
        <is>
          <t>Healthy</t>
        </is>
      </c>
      <c r="O457" s="100">
        <f>G457+H457</f>
        <v/>
      </c>
      <c r="P457" s="100">
        <f>G457+H457-I457-J457</f>
        <v/>
      </c>
      <c r="Q457" s="100">
        <f>MAX(0,P457)</f>
        <v/>
      </c>
      <c r="R457" s="100">
        <f>MAX(0,-P457)</f>
        <v/>
      </c>
      <c r="S457" s="101">
        <f>IFERROR(J457/O457,0)</f>
        <v/>
      </c>
      <c r="T457" s="101">
        <f>IFERROR(I457/O457,0)</f>
        <v/>
      </c>
      <c r="U457" s="102">
        <f>IF(P457&lt;=K457,"Reorder Required","Stock Sufficient")</f>
        <v/>
      </c>
      <c r="V457" s="102">
        <f>IF(AND(Q457=M457,(U457="Reorder Required")=(N457="Reorder Required")),"OK","Mismatch")</f>
        <v/>
      </c>
      <c r="W457" s="99" t="n"/>
    </row>
    <row r="458">
      <c r="A458" s="99" t="inlineStr">
        <is>
          <t>INV00457</t>
        </is>
      </c>
      <c r="B458" s="99" t="inlineStr">
        <is>
          <t>OUT010</t>
        </is>
      </c>
      <c r="C458" s="99">
        <f>INDEX(Lookup!$B$2:$B$11,MATCH(B458,Lookup!$A$2:$A$11,0))</f>
        <v/>
      </c>
      <c r="D458" s="99" t="inlineStr">
        <is>
          <t>BP007</t>
        </is>
      </c>
      <c r="E458" s="99">
        <f>INDEX(Lookup!$E$2:$E$51,MATCH(D458,Lookup!$D$2:$D$51,0))</f>
        <v/>
      </c>
      <c r="F458" s="99">
        <f>INDEX(Lookup!$F$2:$F$51,MATCH(D458,Lookup!$D$2:$D$51,0))</f>
        <v/>
      </c>
      <c r="G458" s="100" t="n">
        <v>81</v>
      </c>
      <c r="H458" s="100" t="n">
        <v>83</v>
      </c>
      <c r="I458" s="100" t="n">
        <v>94</v>
      </c>
      <c r="J458" s="100" t="n">
        <v>0</v>
      </c>
      <c r="K458" s="100" t="n">
        <v>20</v>
      </c>
      <c r="L458" s="100" t="n">
        <v>3</v>
      </c>
      <c r="M458" s="100" t="n">
        <v>70</v>
      </c>
      <c r="N458" s="99" t="inlineStr">
        <is>
          <t>Healthy</t>
        </is>
      </c>
      <c r="O458" s="100">
        <f>G458+H458</f>
        <v/>
      </c>
      <c r="P458" s="100">
        <f>G458+H458-I458-J458</f>
        <v/>
      </c>
      <c r="Q458" s="100">
        <f>MAX(0,P458)</f>
        <v/>
      </c>
      <c r="R458" s="100">
        <f>MAX(0,-P458)</f>
        <v/>
      </c>
      <c r="S458" s="101">
        <f>IFERROR(J458/O458,0)</f>
        <v/>
      </c>
      <c r="T458" s="101">
        <f>IFERROR(I458/O458,0)</f>
        <v/>
      </c>
      <c r="U458" s="102">
        <f>IF(P458&lt;=K458,"Reorder Required","Stock Sufficient")</f>
        <v/>
      </c>
      <c r="V458" s="102">
        <f>IF(AND(Q458=M458,(U458="Reorder Required")=(N458="Reorder Required")),"OK","Mismatch")</f>
        <v/>
      </c>
      <c r="W458" s="99" t="n"/>
    </row>
    <row r="459">
      <c r="A459" s="99" t="inlineStr">
        <is>
          <t>INV00458</t>
        </is>
      </c>
      <c r="B459" s="99" t="inlineStr">
        <is>
          <t>OUT010</t>
        </is>
      </c>
      <c r="C459" s="99">
        <f>INDEX(Lookup!$B$2:$B$11,MATCH(B459,Lookup!$A$2:$A$11,0))</f>
        <v/>
      </c>
      <c r="D459" s="99" t="inlineStr">
        <is>
          <t>BP008</t>
        </is>
      </c>
      <c r="E459" s="99">
        <f>INDEX(Lookup!$E$2:$E$51,MATCH(D459,Lookup!$D$2:$D$51,0))</f>
        <v/>
      </c>
      <c r="F459" s="99">
        <f>INDEX(Lookup!$F$2:$F$51,MATCH(D459,Lookup!$D$2:$D$51,0))</f>
        <v/>
      </c>
      <c r="G459" s="100" t="n">
        <v>79</v>
      </c>
      <c r="H459" s="100" t="n">
        <v>21</v>
      </c>
      <c r="I459" s="100" t="n">
        <v>73</v>
      </c>
      <c r="J459" s="100" t="n">
        <v>3</v>
      </c>
      <c r="K459" s="100" t="n">
        <v>27</v>
      </c>
      <c r="L459" s="100" t="n">
        <v>3</v>
      </c>
      <c r="M459" s="100" t="n">
        <v>24</v>
      </c>
      <c r="N459" s="99" t="inlineStr">
        <is>
          <t>Reorder Required</t>
        </is>
      </c>
      <c r="O459" s="100">
        <f>G459+H459</f>
        <v/>
      </c>
      <c r="P459" s="100">
        <f>G459+H459-I459-J459</f>
        <v/>
      </c>
      <c r="Q459" s="100">
        <f>MAX(0,P459)</f>
        <v/>
      </c>
      <c r="R459" s="100">
        <f>MAX(0,-P459)</f>
        <v/>
      </c>
      <c r="S459" s="101">
        <f>IFERROR(J459/O459,0)</f>
        <v/>
      </c>
      <c r="T459" s="101">
        <f>IFERROR(I459/O459,0)</f>
        <v/>
      </c>
      <c r="U459" s="102">
        <f>IF(P459&lt;=K459,"Reorder Required","Stock Sufficient")</f>
        <v/>
      </c>
      <c r="V459" s="102">
        <f>IF(AND(Q459=M459,(U459="Reorder Required")=(N459="Reorder Required")),"OK","Mismatch")</f>
        <v/>
      </c>
      <c r="W459" s="99" t="inlineStr">
        <is>
          <t>Restock immediately</t>
        </is>
      </c>
    </row>
    <row r="460">
      <c r="A460" s="99" t="inlineStr">
        <is>
          <t>INV00459</t>
        </is>
      </c>
      <c r="B460" s="99" t="inlineStr">
        <is>
          <t>OUT010</t>
        </is>
      </c>
      <c r="C460" s="99">
        <f>INDEX(Lookup!$B$2:$B$11,MATCH(B460,Lookup!$A$2:$A$11,0))</f>
        <v/>
      </c>
      <c r="D460" s="99" t="inlineStr">
        <is>
          <t>BP009</t>
        </is>
      </c>
      <c r="E460" s="99">
        <f>INDEX(Lookup!$E$2:$E$51,MATCH(D460,Lookup!$D$2:$D$51,0))</f>
        <v/>
      </c>
      <c r="F460" s="99">
        <f>INDEX(Lookup!$F$2:$F$51,MATCH(D460,Lookup!$D$2:$D$51,0))</f>
        <v/>
      </c>
      <c r="G460" s="100" t="n">
        <v>58</v>
      </c>
      <c r="H460" s="100" t="n">
        <v>51</v>
      </c>
      <c r="I460" s="100" t="n">
        <v>132</v>
      </c>
      <c r="J460" s="100" t="n">
        <v>0</v>
      </c>
      <c r="K460" s="100" t="n">
        <v>34</v>
      </c>
      <c r="L460" s="100" t="n">
        <v>3</v>
      </c>
      <c r="M460" s="100" t="n">
        <v>0</v>
      </c>
      <c r="N460" s="99" t="inlineStr">
        <is>
          <t>Reorder Required</t>
        </is>
      </c>
      <c r="O460" s="100">
        <f>G460+H460</f>
        <v/>
      </c>
      <c r="P460" s="100">
        <f>G460+H460-I460-J460</f>
        <v/>
      </c>
      <c r="Q460" s="100">
        <f>MAX(0,P460)</f>
        <v/>
      </c>
      <c r="R460" s="100">
        <f>MAX(0,-P460)</f>
        <v/>
      </c>
      <c r="S460" s="101">
        <f>IFERROR(J460/O460,0)</f>
        <v/>
      </c>
      <c r="T460" s="101">
        <f>IFERROR(I460/O460,0)</f>
        <v/>
      </c>
      <c r="U460" s="102">
        <f>IF(P460&lt;=K460,"Reorder Required","Stock Sufficient")</f>
        <v/>
      </c>
      <c r="V460" s="102">
        <f>IF(AND(Q460=M460,(U460="Reorder Required")=(N460="Reorder Required")),"OK","Mismatch")</f>
        <v/>
      </c>
      <c r="W460" s="99" t="inlineStr">
        <is>
          <t>Restock immediately</t>
        </is>
      </c>
    </row>
    <row r="461">
      <c r="A461" s="99" t="inlineStr">
        <is>
          <t>INV00460</t>
        </is>
      </c>
      <c r="B461" s="99" t="inlineStr">
        <is>
          <t>OUT010</t>
        </is>
      </c>
      <c r="C461" s="99">
        <f>INDEX(Lookup!$B$2:$B$11,MATCH(B461,Lookup!$A$2:$A$11,0))</f>
        <v/>
      </c>
      <c r="D461" s="99" t="inlineStr">
        <is>
          <t>BP010</t>
        </is>
      </c>
      <c r="E461" s="99">
        <f>INDEX(Lookup!$E$2:$E$51,MATCH(D461,Lookup!$D$2:$D$51,0))</f>
        <v/>
      </c>
      <c r="F461" s="99">
        <f>INDEX(Lookup!$F$2:$F$51,MATCH(D461,Lookup!$D$2:$D$51,0))</f>
        <v/>
      </c>
      <c r="G461" s="100" t="n">
        <v>92</v>
      </c>
      <c r="H461" s="100" t="n">
        <v>87</v>
      </c>
      <c r="I461" s="100" t="n">
        <v>77</v>
      </c>
      <c r="J461" s="100" t="n">
        <v>2</v>
      </c>
      <c r="K461" s="100" t="n">
        <v>36</v>
      </c>
      <c r="L461" s="100" t="n">
        <v>5</v>
      </c>
      <c r="M461" s="100" t="n">
        <v>100</v>
      </c>
      <c r="N461" s="99" t="inlineStr">
        <is>
          <t>Healthy</t>
        </is>
      </c>
      <c r="O461" s="100">
        <f>G461+H461</f>
        <v/>
      </c>
      <c r="P461" s="100">
        <f>G461+H461-I461-J461</f>
        <v/>
      </c>
      <c r="Q461" s="100">
        <f>MAX(0,P461)</f>
        <v/>
      </c>
      <c r="R461" s="100">
        <f>MAX(0,-P461)</f>
        <v/>
      </c>
      <c r="S461" s="101">
        <f>IFERROR(J461/O461,0)</f>
        <v/>
      </c>
      <c r="T461" s="101">
        <f>IFERROR(I461/O461,0)</f>
        <v/>
      </c>
      <c r="U461" s="102">
        <f>IF(P461&lt;=K461,"Reorder Required","Stock Sufficient")</f>
        <v/>
      </c>
      <c r="V461" s="102">
        <f>IF(AND(Q461=M461,(U461="Reorder Required")=(N461="Reorder Required")),"OK","Mismatch")</f>
        <v/>
      </c>
      <c r="W461" s="99" t="n"/>
    </row>
    <row r="462">
      <c r="A462" s="99" t="inlineStr">
        <is>
          <t>INV00461</t>
        </is>
      </c>
      <c r="B462" s="99" t="inlineStr">
        <is>
          <t>OUT010</t>
        </is>
      </c>
      <c r="C462" s="99">
        <f>INDEX(Lookup!$B$2:$B$11,MATCH(B462,Lookup!$A$2:$A$11,0))</f>
        <v/>
      </c>
      <c r="D462" s="99" t="inlineStr">
        <is>
          <t>BP011</t>
        </is>
      </c>
      <c r="E462" s="99">
        <f>INDEX(Lookup!$E$2:$E$51,MATCH(D462,Lookup!$D$2:$D$51,0))</f>
        <v/>
      </c>
      <c r="F462" s="99">
        <f>INDEX(Lookup!$F$2:$F$51,MATCH(D462,Lookup!$D$2:$D$51,0))</f>
        <v/>
      </c>
      <c r="G462" s="100" t="n">
        <v>97</v>
      </c>
      <c r="H462" s="100" t="n">
        <v>87</v>
      </c>
      <c r="I462" s="100" t="n">
        <v>113</v>
      </c>
      <c r="J462" s="100" t="n">
        <v>3</v>
      </c>
      <c r="K462" s="100" t="n">
        <v>19</v>
      </c>
      <c r="L462" s="100" t="n">
        <v>5</v>
      </c>
      <c r="M462" s="100" t="n">
        <v>68</v>
      </c>
      <c r="N462" s="99" t="inlineStr">
        <is>
          <t>Healthy</t>
        </is>
      </c>
      <c r="O462" s="100">
        <f>G462+H462</f>
        <v/>
      </c>
      <c r="P462" s="100">
        <f>G462+H462-I462-J462</f>
        <v/>
      </c>
      <c r="Q462" s="100">
        <f>MAX(0,P462)</f>
        <v/>
      </c>
      <c r="R462" s="100">
        <f>MAX(0,-P462)</f>
        <v/>
      </c>
      <c r="S462" s="101">
        <f>IFERROR(J462/O462,0)</f>
        <v/>
      </c>
      <c r="T462" s="101">
        <f>IFERROR(I462/O462,0)</f>
        <v/>
      </c>
      <c r="U462" s="102">
        <f>IF(P462&lt;=K462,"Reorder Required","Stock Sufficient")</f>
        <v/>
      </c>
      <c r="V462" s="102">
        <f>IF(AND(Q462=M462,(U462="Reorder Required")=(N462="Reorder Required")),"OK","Mismatch")</f>
        <v/>
      </c>
      <c r="W462" s="99" t="n"/>
    </row>
    <row r="463">
      <c r="A463" s="99" t="inlineStr">
        <is>
          <t>INV00462</t>
        </is>
      </c>
      <c r="B463" s="99" t="inlineStr">
        <is>
          <t>OUT010</t>
        </is>
      </c>
      <c r="C463" s="99">
        <f>INDEX(Lookup!$B$2:$B$11,MATCH(B463,Lookup!$A$2:$A$11,0))</f>
        <v/>
      </c>
      <c r="D463" s="99" t="inlineStr">
        <is>
          <t>BP012</t>
        </is>
      </c>
      <c r="E463" s="99">
        <f>INDEX(Lookup!$E$2:$E$51,MATCH(D463,Lookup!$D$2:$D$51,0))</f>
        <v/>
      </c>
      <c r="F463" s="99">
        <f>INDEX(Lookup!$F$2:$F$51,MATCH(D463,Lookup!$D$2:$D$51,0))</f>
        <v/>
      </c>
      <c r="G463" s="100" t="n">
        <v>124</v>
      </c>
      <c r="H463" s="100" t="n">
        <v>87</v>
      </c>
      <c r="I463" s="100" t="n">
        <v>50</v>
      </c>
      <c r="J463" s="100" t="n">
        <v>2</v>
      </c>
      <c r="K463" s="100" t="n">
        <v>16</v>
      </c>
      <c r="L463" s="100" t="n">
        <v>3</v>
      </c>
      <c r="M463" s="100" t="n">
        <v>159</v>
      </c>
      <c r="N463" s="99" t="inlineStr">
        <is>
          <t>Healthy</t>
        </is>
      </c>
      <c r="O463" s="100">
        <f>G463+H463</f>
        <v/>
      </c>
      <c r="P463" s="100">
        <f>G463+H463-I463-J463</f>
        <v/>
      </c>
      <c r="Q463" s="100">
        <f>MAX(0,P463)</f>
        <v/>
      </c>
      <c r="R463" s="100">
        <f>MAX(0,-P463)</f>
        <v/>
      </c>
      <c r="S463" s="101">
        <f>IFERROR(J463/O463,0)</f>
        <v/>
      </c>
      <c r="T463" s="101">
        <f>IFERROR(I463/O463,0)</f>
        <v/>
      </c>
      <c r="U463" s="102">
        <f>IF(P463&lt;=K463,"Reorder Required","Stock Sufficient")</f>
        <v/>
      </c>
      <c r="V463" s="102">
        <f>IF(AND(Q463=M463,(U463="Reorder Required")=(N463="Reorder Required")),"OK","Mismatch")</f>
        <v/>
      </c>
      <c r="W463" s="99" t="n"/>
    </row>
    <row r="464">
      <c r="A464" s="99" t="inlineStr">
        <is>
          <t>INV00463</t>
        </is>
      </c>
      <c r="B464" s="99" t="inlineStr">
        <is>
          <t>OUT010</t>
        </is>
      </c>
      <c r="C464" s="99">
        <f>INDEX(Lookup!$B$2:$B$11,MATCH(B464,Lookup!$A$2:$A$11,0))</f>
        <v/>
      </c>
      <c r="D464" s="99" t="inlineStr">
        <is>
          <t>BP013</t>
        </is>
      </c>
      <c r="E464" s="99">
        <f>INDEX(Lookup!$E$2:$E$51,MATCH(D464,Lookup!$D$2:$D$51,0))</f>
        <v/>
      </c>
      <c r="F464" s="99">
        <f>INDEX(Lookup!$F$2:$F$51,MATCH(D464,Lookup!$D$2:$D$51,0))</f>
        <v/>
      </c>
      <c r="G464" s="100" t="n">
        <v>123</v>
      </c>
      <c r="H464" s="100" t="n">
        <v>53</v>
      </c>
      <c r="I464" s="100" t="n">
        <v>73</v>
      </c>
      <c r="J464" s="100" t="n">
        <v>3</v>
      </c>
      <c r="K464" s="100" t="n">
        <v>34</v>
      </c>
      <c r="L464" s="100" t="n">
        <v>4</v>
      </c>
      <c r="M464" s="100" t="n">
        <v>100</v>
      </c>
      <c r="N464" s="99" t="inlineStr">
        <is>
          <t>Healthy</t>
        </is>
      </c>
      <c r="O464" s="100">
        <f>G464+H464</f>
        <v/>
      </c>
      <c r="P464" s="100">
        <f>G464+H464-I464-J464</f>
        <v/>
      </c>
      <c r="Q464" s="100">
        <f>MAX(0,P464)</f>
        <v/>
      </c>
      <c r="R464" s="100">
        <f>MAX(0,-P464)</f>
        <v/>
      </c>
      <c r="S464" s="101">
        <f>IFERROR(J464/O464,0)</f>
        <v/>
      </c>
      <c r="T464" s="101">
        <f>IFERROR(I464/O464,0)</f>
        <v/>
      </c>
      <c r="U464" s="102">
        <f>IF(P464&lt;=K464,"Reorder Required","Stock Sufficient")</f>
        <v/>
      </c>
      <c r="V464" s="102">
        <f>IF(AND(Q464=M464,(U464="Reorder Required")=(N464="Reorder Required")),"OK","Mismatch")</f>
        <v/>
      </c>
      <c r="W464" s="99" t="n"/>
    </row>
    <row r="465">
      <c r="A465" s="99" t="inlineStr">
        <is>
          <t>INV00464</t>
        </is>
      </c>
      <c r="B465" s="99" t="inlineStr">
        <is>
          <t>OUT010</t>
        </is>
      </c>
      <c r="C465" s="99">
        <f>INDEX(Lookup!$B$2:$B$11,MATCH(B465,Lookup!$A$2:$A$11,0))</f>
        <v/>
      </c>
      <c r="D465" s="99" t="inlineStr">
        <is>
          <t>BP014</t>
        </is>
      </c>
      <c r="E465" s="99">
        <f>INDEX(Lookup!$E$2:$E$51,MATCH(D465,Lookup!$D$2:$D$51,0))</f>
        <v/>
      </c>
      <c r="F465" s="99">
        <f>INDEX(Lookup!$F$2:$F$51,MATCH(D465,Lookup!$D$2:$D$51,0))</f>
        <v/>
      </c>
      <c r="G465" s="100" t="n">
        <v>71</v>
      </c>
      <c r="H465" s="100" t="n">
        <v>30</v>
      </c>
      <c r="I465" s="100" t="n">
        <v>109</v>
      </c>
      <c r="J465" s="100" t="n">
        <v>2</v>
      </c>
      <c r="K465" s="100" t="n">
        <v>20</v>
      </c>
      <c r="L465" s="100" t="n">
        <v>2</v>
      </c>
      <c r="M465" s="100" t="n">
        <v>0</v>
      </c>
      <c r="N465" s="99" t="inlineStr">
        <is>
          <t>Reorder Required</t>
        </is>
      </c>
      <c r="O465" s="100">
        <f>G465+H465</f>
        <v/>
      </c>
      <c r="P465" s="100">
        <f>G465+H465-I465-J465</f>
        <v/>
      </c>
      <c r="Q465" s="100">
        <f>MAX(0,P465)</f>
        <v/>
      </c>
      <c r="R465" s="100">
        <f>MAX(0,-P465)</f>
        <v/>
      </c>
      <c r="S465" s="101">
        <f>IFERROR(J465/O465,0)</f>
        <v/>
      </c>
      <c r="T465" s="101">
        <f>IFERROR(I465/O465,0)</f>
        <v/>
      </c>
      <c r="U465" s="102">
        <f>IF(P465&lt;=K465,"Reorder Required","Stock Sufficient")</f>
        <v/>
      </c>
      <c r="V465" s="102">
        <f>IF(AND(Q465=M465,(U465="Reorder Required")=(N465="Reorder Required")),"OK","Mismatch")</f>
        <v/>
      </c>
      <c r="W465" s="99" t="inlineStr">
        <is>
          <t>Restock immediately</t>
        </is>
      </c>
    </row>
    <row r="466">
      <c r="A466" s="99" t="inlineStr">
        <is>
          <t>INV00465</t>
        </is>
      </c>
      <c r="B466" s="99" t="inlineStr">
        <is>
          <t>OUT010</t>
        </is>
      </c>
      <c r="C466" s="99">
        <f>INDEX(Lookup!$B$2:$B$11,MATCH(B466,Lookup!$A$2:$A$11,0))</f>
        <v/>
      </c>
      <c r="D466" s="99" t="inlineStr">
        <is>
          <t>BP015</t>
        </is>
      </c>
      <c r="E466" s="99">
        <f>INDEX(Lookup!$E$2:$E$51,MATCH(D466,Lookup!$D$2:$D$51,0))</f>
        <v/>
      </c>
      <c r="F466" s="99">
        <f>INDEX(Lookup!$F$2:$F$51,MATCH(D466,Lookup!$D$2:$D$51,0))</f>
        <v/>
      </c>
      <c r="G466" s="100" t="n">
        <v>54</v>
      </c>
      <c r="H466" s="100" t="n">
        <v>64</v>
      </c>
      <c r="I466" s="100" t="n">
        <v>97</v>
      </c>
      <c r="J466" s="100" t="n">
        <v>2</v>
      </c>
      <c r="K466" s="100" t="n">
        <v>34</v>
      </c>
      <c r="L466" s="100" t="n">
        <v>2</v>
      </c>
      <c r="M466" s="100" t="n">
        <v>19</v>
      </c>
      <c r="N466" s="99" t="inlineStr">
        <is>
          <t>Reorder Required</t>
        </is>
      </c>
      <c r="O466" s="100">
        <f>G466+H466</f>
        <v/>
      </c>
      <c r="P466" s="100">
        <f>G466+H466-I466-J466</f>
        <v/>
      </c>
      <c r="Q466" s="100">
        <f>MAX(0,P466)</f>
        <v/>
      </c>
      <c r="R466" s="100">
        <f>MAX(0,-P466)</f>
        <v/>
      </c>
      <c r="S466" s="101">
        <f>IFERROR(J466/O466,0)</f>
        <v/>
      </c>
      <c r="T466" s="101">
        <f>IFERROR(I466/O466,0)</f>
        <v/>
      </c>
      <c r="U466" s="102">
        <f>IF(P466&lt;=K466,"Reorder Required","Stock Sufficient")</f>
        <v/>
      </c>
      <c r="V466" s="102">
        <f>IF(AND(Q466=M466,(U466="Reorder Required")=(N466="Reorder Required")),"OK","Mismatch")</f>
        <v/>
      </c>
      <c r="W466" s="99" t="inlineStr">
        <is>
          <t>Restock immediately</t>
        </is>
      </c>
    </row>
    <row r="467">
      <c r="A467" s="99" t="inlineStr">
        <is>
          <t>INV00466</t>
        </is>
      </c>
      <c r="B467" s="99" t="inlineStr">
        <is>
          <t>OUT010</t>
        </is>
      </c>
      <c r="C467" s="99">
        <f>INDEX(Lookup!$B$2:$B$11,MATCH(B467,Lookup!$A$2:$A$11,0))</f>
        <v/>
      </c>
      <c r="D467" s="99" t="inlineStr">
        <is>
          <t>BP016</t>
        </is>
      </c>
      <c r="E467" s="99">
        <f>INDEX(Lookup!$E$2:$E$51,MATCH(D467,Lookup!$D$2:$D$51,0))</f>
        <v/>
      </c>
      <c r="F467" s="99">
        <f>INDEX(Lookup!$F$2:$F$51,MATCH(D467,Lookup!$D$2:$D$51,0))</f>
        <v/>
      </c>
      <c r="G467" s="100" t="n">
        <v>89</v>
      </c>
      <c r="H467" s="100" t="n">
        <v>24</v>
      </c>
      <c r="I467" s="100" t="n">
        <v>131</v>
      </c>
      <c r="J467" s="100" t="n">
        <v>3</v>
      </c>
      <c r="K467" s="100" t="n">
        <v>24</v>
      </c>
      <c r="L467" s="100" t="n">
        <v>5</v>
      </c>
      <c r="M467" s="100" t="n">
        <v>0</v>
      </c>
      <c r="N467" s="99" t="inlineStr">
        <is>
          <t>Reorder Required</t>
        </is>
      </c>
      <c r="O467" s="100">
        <f>G467+H467</f>
        <v/>
      </c>
      <c r="P467" s="100">
        <f>G467+H467-I467-J467</f>
        <v/>
      </c>
      <c r="Q467" s="100">
        <f>MAX(0,P467)</f>
        <v/>
      </c>
      <c r="R467" s="100">
        <f>MAX(0,-P467)</f>
        <v/>
      </c>
      <c r="S467" s="101">
        <f>IFERROR(J467/O467,0)</f>
        <v/>
      </c>
      <c r="T467" s="101">
        <f>IFERROR(I467/O467,0)</f>
        <v/>
      </c>
      <c r="U467" s="102">
        <f>IF(P467&lt;=K467,"Reorder Required","Stock Sufficient")</f>
        <v/>
      </c>
      <c r="V467" s="102">
        <f>IF(AND(Q467=M467,(U467="Reorder Required")=(N467="Reorder Required")),"OK","Mismatch")</f>
        <v/>
      </c>
      <c r="W467" s="99" t="inlineStr">
        <is>
          <t>Restock immediately</t>
        </is>
      </c>
    </row>
    <row r="468">
      <c r="A468" s="99" t="inlineStr">
        <is>
          <t>INV00467</t>
        </is>
      </c>
      <c r="B468" s="99" t="inlineStr">
        <is>
          <t>OUT010</t>
        </is>
      </c>
      <c r="C468" s="99">
        <f>INDEX(Lookup!$B$2:$B$11,MATCH(B468,Lookup!$A$2:$A$11,0))</f>
        <v/>
      </c>
      <c r="D468" s="99" t="inlineStr">
        <is>
          <t>BP017</t>
        </is>
      </c>
      <c r="E468" s="99">
        <f>INDEX(Lookup!$E$2:$E$51,MATCH(D468,Lookup!$D$2:$D$51,0))</f>
        <v/>
      </c>
      <c r="F468" s="99">
        <f>INDEX(Lookup!$F$2:$F$51,MATCH(D468,Lookup!$D$2:$D$51,0))</f>
        <v/>
      </c>
      <c r="G468" s="100" t="n">
        <v>53</v>
      </c>
      <c r="H468" s="100" t="n">
        <v>26</v>
      </c>
      <c r="I468" s="100" t="n">
        <v>36</v>
      </c>
      <c r="J468" s="100" t="n">
        <v>2</v>
      </c>
      <c r="K468" s="100" t="n">
        <v>21</v>
      </c>
      <c r="L468" s="100" t="n">
        <v>3</v>
      </c>
      <c r="M468" s="100" t="n">
        <v>41</v>
      </c>
      <c r="N468" s="99" t="inlineStr">
        <is>
          <t>Healthy</t>
        </is>
      </c>
      <c r="O468" s="100">
        <f>G468+H468</f>
        <v/>
      </c>
      <c r="P468" s="100">
        <f>G468+H468-I468-J468</f>
        <v/>
      </c>
      <c r="Q468" s="100">
        <f>MAX(0,P468)</f>
        <v/>
      </c>
      <c r="R468" s="100">
        <f>MAX(0,-P468)</f>
        <v/>
      </c>
      <c r="S468" s="101">
        <f>IFERROR(J468/O468,0)</f>
        <v/>
      </c>
      <c r="T468" s="101">
        <f>IFERROR(I468/O468,0)</f>
        <v/>
      </c>
      <c r="U468" s="102">
        <f>IF(P468&lt;=K468,"Reorder Required","Stock Sufficient")</f>
        <v/>
      </c>
      <c r="V468" s="102">
        <f>IF(AND(Q468=M468,(U468="Reorder Required")=(N468="Reorder Required")),"OK","Mismatch")</f>
        <v/>
      </c>
      <c r="W468" s="99" t="n"/>
    </row>
    <row r="469">
      <c r="A469" s="99" t="inlineStr">
        <is>
          <t>INV00468</t>
        </is>
      </c>
      <c r="B469" s="99" t="inlineStr">
        <is>
          <t>OUT010</t>
        </is>
      </c>
      <c r="C469" s="99">
        <f>INDEX(Lookup!$B$2:$B$11,MATCH(B469,Lookup!$A$2:$A$11,0))</f>
        <v/>
      </c>
      <c r="D469" s="99" t="inlineStr">
        <is>
          <t>BP018</t>
        </is>
      </c>
      <c r="E469" s="99">
        <f>INDEX(Lookup!$E$2:$E$51,MATCH(D469,Lookup!$D$2:$D$51,0))</f>
        <v/>
      </c>
      <c r="F469" s="99">
        <f>INDEX(Lookup!$F$2:$F$51,MATCH(D469,Lookup!$D$2:$D$51,0))</f>
        <v/>
      </c>
      <c r="G469" s="100" t="n">
        <v>102</v>
      </c>
      <c r="H469" s="100" t="n">
        <v>35</v>
      </c>
      <c r="I469" s="100" t="n">
        <v>103</v>
      </c>
      <c r="J469" s="100" t="n">
        <v>3</v>
      </c>
      <c r="K469" s="100" t="n">
        <v>37</v>
      </c>
      <c r="L469" s="100" t="n">
        <v>1</v>
      </c>
      <c r="M469" s="100" t="n">
        <v>31</v>
      </c>
      <c r="N469" s="99" t="inlineStr">
        <is>
          <t>Reorder Required</t>
        </is>
      </c>
      <c r="O469" s="100">
        <f>G469+H469</f>
        <v/>
      </c>
      <c r="P469" s="100">
        <f>G469+H469-I469-J469</f>
        <v/>
      </c>
      <c r="Q469" s="100">
        <f>MAX(0,P469)</f>
        <v/>
      </c>
      <c r="R469" s="100">
        <f>MAX(0,-P469)</f>
        <v/>
      </c>
      <c r="S469" s="101">
        <f>IFERROR(J469/O469,0)</f>
        <v/>
      </c>
      <c r="T469" s="101">
        <f>IFERROR(I469/O469,0)</f>
        <v/>
      </c>
      <c r="U469" s="102">
        <f>IF(P469&lt;=K469,"Reorder Required","Stock Sufficient")</f>
        <v/>
      </c>
      <c r="V469" s="102">
        <f>IF(AND(Q469=M469,(U469="Reorder Required")=(N469="Reorder Required")),"OK","Mismatch")</f>
        <v/>
      </c>
      <c r="W469" s="99" t="inlineStr">
        <is>
          <t>Restock immediately</t>
        </is>
      </c>
    </row>
    <row r="470">
      <c r="A470" s="99" t="inlineStr">
        <is>
          <t>INV00469</t>
        </is>
      </c>
      <c r="B470" s="99" t="inlineStr">
        <is>
          <t>OUT010</t>
        </is>
      </c>
      <c r="C470" s="99">
        <f>INDEX(Lookup!$B$2:$B$11,MATCH(B470,Lookup!$A$2:$A$11,0))</f>
        <v/>
      </c>
      <c r="D470" s="99" t="inlineStr">
        <is>
          <t>BP019</t>
        </is>
      </c>
      <c r="E470" s="99">
        <f>INDEX(Lookup!$E$2:$E$51,MATCH(D470,Lookup!$D$2:$D$51,0))</f>
        <v/>
      </c>
      <c r="F470" s="99">
        <f>INDEX(Lookup!$F$2:$F$51,MATCH(D470,Lookup!$D$2:$D$51,0))</f>
        <v/>
      </c>
      <c r="G470" s="100" t="n">
        <v>147</v>
      </c>
      <c r="H470" s="100" t="n">
        <v>50</v>
      </c>
      <c r="I470" s="100" t="n">
        <v>32</v>
      </c>
      <c r="J470" s="100" t="n">
        <v>3</v>
      </c>
      <c r="K470" s="100" t="n">
        <v>20</v>
      </c>
      <c r="L470" s="100" t="n">
        <v>1</v>
      </c>
      <c r="M470" s="100" t="n">
        <v>162</v>
      </c>
      <c r="N470" s="99" t="inlineStr">
        <is>
          <t>Healthy</t>
        </is>
      </c>
      <c r="O470" s="100">
        <f>G470+H470</f>
        <v/>
      </c>
      <c r="P470" s="100">
        <f>G470+H470-I470-J470</f>
        <v/>
      </c>
      <c r="Q470" s="100">
        <f>MAX(0,P470)</f>
        <v/>
      </c>
      <c r="R470" s="100">
        <f>MAX(0,-P470)</f>
        <v/>
      </c>
      <c r="S470" s="101">
        <f>IFERROR(J470/O470,0)</f>
        <v/>
      </c>
      <c r="T470" s="101">
        <f>IFERROR(I470/O470,0)</f>
        <v/>
      </c>
      <c r="U470" s="102">
        <f>IF(P470&lt;=K470,"Reorder Required","Stock Sufficient")</f>
        <v/>
      </c>
      <c r="V470" s="102">
        <f>IF(AND(Q470=M470,(U470="Reorder Required")=(N470="Reorder Required")),"OK","Mismatch")</f>
        <v/>
      </c>
      <c r="W470" s="99" t="n"/>
    </row>
    <row r="471">
      <c r="A471" s="99" t="inlineStr">
        <is>
          <t>INV00470</t>
        </is>
      </c>
      <c r="B471" s="99" t="inlineStr">
        <is>
          <t>OUT010</t>
        </is>
      </c>
      <c r="C471" s="99">
        <f>INDEX(Lookup!$B$2:$B$11,MATCH(B471,Lookup!$A$2:$A$11,0))</f>
        <v/>
      </c>
      <c r="D471" s="99" t="inlineStr">
        <is>
          <t>BP020</t>
        </is>
      </c>
      <c r="E471" s="99">
        <f>INDEX(Lookup!$E$2:$E$51,MATCH(D471,Lookup!$D$2:$D$51,0))</f>
        <v/>
      </c>
      <c r="F471" s="99">
        <f>INDEX(Lookup!$F$2:$F$51,MATCH(D471,Lookup!$D$2:$D$51,0))</f>
        <v/>
      </c>
      <c r="G471" s="100" t="n">
        <v>47</v>
      </c>
      <c r="H471" s="100" t="n">
        <v>34</v>
      </c>
      <c r="I471" s="100" t="n">
        <v>130</v>
      </c>
      <c r="J471" s="100" t="n">
        <v>2</v>
      </c>
      <c r="K471" s="100" t="n">
        <v>37</v>
      </c>
      <c r="L471" s="100" t="n">
        <v>4</v>
      </c>
      <c r="M471" s="100" t="n">
        <v>0</v>
      </c>
      <c r="N471" s="99" t="inlineStr">
        <is>
          <t>Reorder Required</t>
        </is>
      </c>
      <c r="O471" s="100">
        <f>G471+H471</f>
        <v/>
      </c>
      <c r="P471" s="100">
        <f>G471+H471-I471-J471</f>
        <v/>
      </c>
      <c r="Q471" s="100">
        <f>MAX(0,P471)</f>
        <v/>
      </c>
      <c r="R471" s="100">
        <f>MAX(0,-P471)</f>
        <v/>
      </c>
      <c r="S471" s="101">
        <f>IFERROR(J471/O471,0)</f>
        <v/>
      </c>
      <c r="T471" s="101">
        <f>IFERROR(I471/O471,0)</f>
        <v/>
      </c>
      <c r="U471" s="102">
        <f>IF(P471&lt;=K471,"Reorder Required","Stock Sufficient")</f>
        <v/>
      </c>
      <c r="V471" s="102">
        <f>IF(AND(Q471=M471,(U471="Reorder Required")=(N471="Reorder Required")),"OK","Mismatch")</f>
        <v/>
      </c>
      <c r="W471" s="99" t="inlineStr">
        <is>
          <t>Restock immediately</t>
        </is>
      </c>
    </row>
    <row r="472">
      <c r="A472" s="99" t="inlineStr">
        <is>
          <t>INV00471</t>
        </is>
      </c>
      <c r="B472" s="99" t="inlineStr">
        <is>
          <t>OUT010</t>
        </is>
      </c>
      <c r="C472" s="99">
        <f>INDEX(Lookup!$B$2:$B$11,MATCH(B472,Lookup!$A$2:$A$11,0))</f>
        <v/>
      </c>
      <c r="D472" s="99" t="inlineStr">
        <is>
          <t>BP021</t>
        </is>
      </c>
      <c r="E472" s="99">
        <f>INDEX(Lookup!$E$2:$E$51,MATCH(D472,Lookup!$D$2:$D$51,0))</f>
        <v/>
      </c>
      <c r="F472" s="99">
        <f>INDEX(Lookup!$F$2:$F$51,MATCH(D472,Lookup!$D$2:$D$51,0))</f>
        <v/>
      </c>
      <c r="G472" s="100" t="n">
        <v>100</v>
      </c>
      <c r="H472" s="100" t="n">
        <v>61</v>
      </c>
      <c r="I472" s="100" t="n">
        <v>109</v>
      </c>
      <c r="J472" s="100" t="n">
        <v>2</v>
      </c>
      <c r="K472" s="100" t="n">
        <v>24</v>
      </c>
      <c r="L472" s="100" t="n">
        <v>3</v>
      </c>
      <c r="M472" s="100" t="n">
        <v>50</v>
      </c>
      <c r="N472" s="99" t="inlineStr">
        <is>
          <t>Healthy</t>
        </is>
      </c>
      <c r="O472" s="100">
        <f>G472+H472</f>
        <v/>
      </c>
      <c r="P472" s="100">
        <f>G472+H472-I472-J472</f>
        <v/>
      </c>
      <c r="Q472" s="100">
        <f>MAX(0,P472)</f>
        <v/>
      </c>
      <c r="R472" s="100">
        <f>MAX(0,-P472)</f>
        <v/>
      </c>
      <c r="S472" s="101">
        <f>IFERROR(J472/O472,0)</f>
        <v/>
      </c>
      <c r="T472" s="101">
        <f>IFERROR(I472/O472,0)</f>
        <v/>
      </c>
      <c r="U472" s="102">
        <f>IF(P472&lt;=K472,"Reorder Required","Stock Sufficient")</f>
        <v/>
      </c>
      <c r="V472" s="102">
        <f>IF(AND(Q472=M472,(U472="Reorder Required")=(N472="Reorder Required")),"OK","Mismatch")</f>
        <v/>
      </c>
      <c r="W472" s="99" t="n"/>
    </row>
    <row r="473">
      <c r="A473" s="99" t="inlineStr">
        <is>
          <t>INV00472</t>
        </is>
      </c>
      <c r="B473" s="99" t="inlineStr">
        <is>
          <t>OUT010</t>
        </is>
      </c>
      <c r="C473" s="99">
        <f>INDEX(Lookup!$B$2:$B$11,MATCH(B473,Lookup!$A$2:$A$11,0))</f>
        <v/>
      </c>
      <c r="D473" s="99" t="inlineStr">
        <is>
          <t>BP022</t>
        </is>
      </c>
      <c r="E473" s="99">
        <f>INDEX(Lookup!$E$2:$E$51,MATCH(D473,Lookup!$D$2:$D$51,0))</f>
        <v/>
      </c>
      <c r="F473" s="99">
        <f>INDEX(Lookup!$F$2:$F$51,MATCH(D473,Lookup!$D$2:$D$51,0))</f>
        <v/>
      </c>
      <c r="G473" s="100" t="n">
        <v>83</v>
      </c>
      <c r="H473" s="100" t="n">
        <v>46</v>
      </c>
      <c r="I473" s="100" t="n">
        <v>80</v>
      </c>
      <c r="J473" s="100" t="n">
        <v>3</v>
      </c>
      <c r="K473" s="100" t="n">
        <v>27</v>
      </c>
      <c r="L473" s="100" t="n">
        <v>2</v>
      </c>
      <c r="M473" s="100" t="n">
        <v>46</v>
      </c>
      <c r="N473" s="99" t="inlineStr">
        <is>
          <t>Healthy</t>
        </is>
      </c>
      <c r="O473" s="100">
        <f>G473+H473</f>
        <v/>
      </c>
      <c r="P473" s="100">
        <f>G473+H473-I473-J473</f>
        <v/>
      </c>
      <c r="Q473" s="100">
        <f>MAX(0,P473)</f>
        <v/>
      </c>
      <c r="R473" s="100">
        <f>MAX(0,-P473)</f>
        <v/>
      </c>
      <c r="S473" s="101">
        <f>IFERROR(J473/O473,0)</f>
        <v/>
      </c>
      <c r="T473" s="101">
        <f>IFERROR(I473/O473,0)</f>
        <v/>
      </c>
      <c r="U473" s="102">
        <f>IF(P473&lt;=K473,"Reorder Required","Stock Sufficient")</f>
        <v/>
      </c>
      <c r="V473" s="102">
        <f>IF(AND(Q473=M473,(U473="Reorder Required")=(N473="Reorder Required")),"OK","Mismatch")</f>
        <v/>
      </c>
      <c r="W473" s="99" t="n"/>
    </row>
    <row r="474">
      <c r="A474" s="99" t="inlineStr">
        <is>
          <t>INV00473</t>
        </is>
      </c>
      <c r="B474" s="99" t="inlineStr">
        <is>
          <t>OUT010</t>
        </is>
      </c>
      <c r="C474" s="99">
        <f>INDEX(Lookup!$B$2:$B$11,MATCH(B474,Lookup!$A$2:$A$11,0))</f>
        <v/>
      </c>
      <c r="D474" s="99" t="inlineStr">
        <is>
          <t>BP023</t>
        </is>
      </c>
      <c r="E474" s="99">
        <f>INDEX(Lookup!$E$2:$E$51,MATCH(D474,Lookup!$D$2:$D$51,0))</f>
        <v/>
      </c>
      <c r="F474" s="99">
        <f>INDEX(Lookup!$F$2:$F$51,MATCH(D474,Lookup!$D$2:$D$51,0))</f>
        <v/>
      </c>
      <c r="G474" s="100" t="n">
        <v>96</v>
      </c>
      <c r="H474" s="100" t="n">
        <v>46</v>
      </c>
      <c r="I474" s="100" t="n">
        <v>93</v>
      </c>
      <c r="J474" s="100" t="n">
        <v>2</v>
      </c>
      <c r="K474" s="100" t="n">
        <v>36</v>
      </c>
      <c r="L474" s="100" t="n">
        <v>2</v>
      </c>
      <c r="M474" s="100" t="n">
        <v>47</v>
      </c>
      <c r="N474" s="99" t="inlineStr">
        <is>
          <t>Healthy</t>
        </is>
      </c>
      <c r="O474" s="100">
        <f>G474+H474</f>
        <v/>
      </c>
      <c r="P474" s="100">
        <f>G474+H474-I474-J474</f>
        <v/>
      </c>
      <c r="Q474" s="100">
        <f>MAX(0,P474)</f>
        <v/>
      </c>
      <c r="R474" s="100">
        <f>MAX(0,-P474)</f>
        <v/>
      </c>
      <c r="S474" s="101">
        <f>IFERROR(J474/O474,0)</f>
        <v/>
      </c>
      <c r="T474" s="101">
        <f>IFERROR(I474/O474,0)</f>
        <v/>
      </c>
      <c r="U474" s="102">
        <f>IF(P474&lt;=K474,"Reorder Required","Stock Sufficient")</f>
        <v/>
      </c>
      <c r="V474" s="102">
        <f>IF(AND(Q474=M474,(U474="Reorder Required")=(N474="Reorder Required")),"OK","Mismatch")</f>
        <v/>
      </c>
      <c r="W474" s="99" t="n"/>
    </row>
    <row r="475">
      <c r="A475" s="99" t="inlineStr">
        <is>
          <t>INV00474</t>
        </is>
      </c>
      <c r="B475" s="99" t="inlineStr">
        <is>
          <t>OUT010</t>
        </is>
      </c>
      <c r="C475" s="99">
        <f>INDEX(Lookup!$B$2:$B$11,MATCH(B475,Lookup!$A$2:$A$11,0))</f>
        <v/>
      </c>
      <c r="D475" s="99" t="inlineStr">
        <is>
          <t>BP024</t>
        </is>
      </c>
      <c r="E475" s="99">
        <f>INDEX(Lookup!$E$2:$E$51,MATCH(D475,Lookup!$D$2:$D$51,0))</f>
        <v/>
      </c>
      <c r="F475" s="99">
        <f>INDEX(Lookup!$F$2:$F$51,MATCH(D475,Lookup!$D$2:$D$51,0))</f>
        <v/>
      </c>
      <c r="G475" s="100" t="n">
        <v>57</v>
      </c>
      <c r="H475" s="100" t="n">
        <v>90</v>
      </c>
      <c r="I475" s="100" t="n">
        <v>52</v>
      </c>
      <c r="J475" s="100" t="n">
        <v>1</v>
      </c>
      <c r="K475" s="100" t="n">
        <v>24</v>
      </c>
      <c r="L475" s="100" t="n">
        <v>1</v>
      </c>
      <c r="M475" s="100" t="n">
        <v>94</v>
      </c>
      <c r="N475" s="99" t="inlineStr">
        <is>
          <t>Healthy</t>
        </is>
      </c>
      <c r="O475" s="100">
        <f>G475+H475</f>
        <v/>
      </c>
      <c r="P475" s="100">
        <f>G475+H475-I475-J475</f>
        <v/>
      </c>
      <c r="Q475" s="100">
        <f>MAX(0,P475)</f>
        <v/>
      </c>
      <c r="R475" s="100">
        <f>MAX(0,-P475)</f>
        <v/>
      </c>
      <c r="S475" s="101">
        <f>IFERROR(J475/O475,0)</f>
        <v/>
      </c>
      <c r="T475" s="101">
        <f>IFERROR(I475/O475,0)</f>
        <v/>
      </c>
      <c r="U475" s="102">
        <f>IF(P475&lt;=K475,"Reorder Required","Stock Sufficient")</f>
        <v/>
      </c>
      <c r="V475" s="102">
        <f>IF(AND(Q475=M475,(U475="Reorder Required")=(N475="Reorder Required")),"OK","Mismatch")</f>
        <v/>
      </c>
      <c r="W475" s="99" t="n"/>
    </row>
    <row r="476">
      <c r="A476" s="99" t="inlineStr">
        <is>
          <t>INV00475</t>
        </is>
      </c>
      <c r="B476" s="99" t="inlineStr">
        <is>
          <t>OUT010</t>
        </is>
      </c>
      <c r="C476" s="99">
        <f>INDEX(Lookup!$B$2:$B$11,MATCH(B476,Lookup!$A$2:$A$11,0))</f>
        <v/>
      </c>
      <c r="D476" s="99" t="inlineStr">
        <is>
          <t>BP025</t>
        </is>
      </c>
      <c r="E476" s="99">
        <f>INDEX(Lookup!$E$2:$E$51,MATCH(D476,Lookup!$D$2:$D$51,0))</f>
        <v/>
      </c>
      <c r="F476" s="99">
        <f>INDEX(Lookup!$F$2:$F$51,MATCH(D476,Lookup!$D$2:$D$51,0))</f>
        <v/>
      </c>
      <c r="G476" s="100" t="n">
        <v>62</v>
      </c>
      <c r="H476" s="100" t="n">
        <v>86</v>
      </c>
      <c r="I476" s="100" t="n">
        <v>60</v>
      </c>
      <c r="J476" s="100" t="n">
        <v>2</v>
      </c>
      <c r="K476" s="100" t="n">
        <v>27</v>
      </c>
      <c r="L476" s="100" t="n">
        <v>1</v>
      </c>
      <c r="M476" s="100" t="n">
        <v>86</v>
      </c>
      <c r="N476" s="99" t="inlineStr">
        <is>
          <t>Healthy</t>
        </is>
      </c>
      <c r="O476" s="100">
        <f>G476+H476</f>
        <v/>
      </c>
      <c r="P476" s="100">
        <f>G476+H476-I476-J476</f>
        <v/>
      </c>
      <c r="Q476" s="100">
        <f>MAX(0,P476)</f>
        <v/>
      </c>
      <c r="R476" s="100">
        <f>MAX(0,-P476)</f>
        <v/>
      </c>
      <c r="S476" s="101">
        <f>IFERROR(J476/O476,0)</f>
        <v/>
      </c>
      <c r="T476" s="101">
        <f>IFERROR(I476/O476,0)</f>
        <v/>
      </c>
      <c r="U476" s="102">
        <f>IF(P476&lt;=K476,"Reorder Required","Stock Sufficient")</f>
        <v/>
      </c>
      <c r="V476" s="102">
        <f>IF(AND(Q476=M476,(U476="Reorder Required")=(N476="Reorder Required")),"OK","Mismatch")</f>
        <v/>
      </c>
      <c r="W476" s="99" t="n"/>
    </row>
    <row r="477">
      <c r="A477" s="99" t="inlineStr">
        <is>
          <t>INV00476</t>
        </is>
      </c>
      <c r="B477" s="99" t="inlineStr">
        <is>
          <t>OUT010</t>
        </is>
      </c>
      <c r="C477" s="99">
        <f>INDEX(Lookup!$B$2:$B$11,MATCH(B477,Lookup!$A$2:$A$11,0))</f>
        <v/>
      </c>
      <c r="D477" s="99" t="inlineStr">
        <is>
          <t>BP026</t>
        </is>
      </c>
      <c r="E477" s="99">
        <f>INDEX(Lookup!$E$2:$E$51,MATCH(D477,Lookup!$D$2:$D$51,0))</f>
        <v/>
      </c>
      <c r="F477" s="99">
        <f>INDEX(Lookup!$F$2:$F$51,MATCH(D477,Lookup!$D$2:$D$51,0))</f>
        <v/>
      </c>
      <c r="G477" s="100" t="n">
        <v>70</v>
      </c>
      <c r="H477" s="100" t="n">
        <v>70</v>
      </c>
      <c r="I477" s="100" t="n">
        <v>113</v>
      </c>
      <c r="J477" s="100" t="n">
        <v>1</v>
      </c>
      <c r="K477" s="100" t="n">
        <v>16</v>
      </c>
      <c r="L477" s="100" t="n">
        <v>2</v>
      </c>
      <c r="M477" s="100" t="n">
        <v>26</v>
      </c>
      <c r="N477" s="99" t="inlineStr">
        <is>
          <t>Healthy</t>
        </is>
      </c>
      <c r="O477" s="100">
        <f>G477+H477</f>
        <v/>
      </c>
      <c r="P477" s="100">
        <f>G477+H477-I477-J477</f>
        <v/>
      </c>
      <c r="Q477" s="100">
        <f>MAX(0,P477)</f>
        <v/>
      </c>
      <c r="R477" s="100">
        <f>MAX(0,-P477)</f>
        <v/>
      </c>
      <c r="S477" s="101">
        <f>IFERROR(J477/O477,0)</f>
        <v/>
      </c>
      <c r="T477" s="101">
        <f>IFERROR(I477/O477,0)</f>
        <v/>
      </c>
      <c r="U477" s="102">
        <f>IF(P477&lt;=K477,"Reorder Required","Stock Sufficient")</f>
        <v/>
      </c>
      <c r="V477" s="102">
        <f>IF(AND(Q477=M477,(U477="Reorder Required")=(N477="Reorder Required")),"OK","Mismatch")</f>
        <v/>
      </c>
      <c r="W477" s="99" t="n"/>
    </row>
    <row r="478">
      <c r="A478" s="99" t="inlineStr">
        <is>
          <t>INV00477</t>
        </is>
      </c>
      <c r="B478" s="99" t="inlineStr">
        <is>
          <t>OUT010</t>
        </is>
      </c>
      <c r="C478" s="99">
        <f>INDEX(Lookup!$B$2:$B$11,MATCH(B478,Lookup!$A$2:$A$11,0))</f>
        <v/>
      </c>
      <c r="D478" s="99" t="inlineStr">
        <is>
          <t>BP027</t>
        </is>
      </c>
      <c r="E478" s="99">
        <f>INDEX(Lookup!$E$2:$E$51,MATCH(D478,Lookup!$D$2:$D$51,0))</f>
        <v/>
      </c>
      <c r="F478" s="99">
        <f>INDEX(Lookup!$F$2:$F$51,MATCH(D478,Lookup!$D$2:$D$51,0))</f>
        <v/>
      </c>
      <c r="G478" s="100" t="n">
        <v>49</v>
      </c>
      <c r="H478" s="100" t="n">
        <v>33</v>
      </c>
      <c r="I478" s="100" t="n">
        <v>140</v>
      </c>
      <c r="J478" s="100" t="n">
        <v>2</v>
      </c>
      <c r="K478" s="100" t="n">
        <v>22</v>
      </c>
      <c r="L478" s="100" t="n">
        <v>3</v>
      </c>
      <c r="M478" s="100" t="n">
        <v>0</v>
      </c>
      <c r="N478" s="99" t="inlineStr">
        <is>
          <t>Reorder Required</t>
        </is>
      </c>
      <c r="O478" s="100">
        <f>G478+H478</f>
        <v/>
      </c>
      <c r="P478" s="100">
        <f>G478+H478-I478-J478</f>
        <v/>
      </c>
      <c r="Q478" s="100">
        <f>MAX(0,P478)</f>
        <v/>
      </c>
      <c r="R478" s="100">
        <f>MAX(0,-P478)</f>
        <v/>
      </c>
      <c r="S478" s="101">
        <f>IFERROR(J478/O478,0)</f>
        <v/>
      </c>
      <c r="T478" s="101">
        <f>IFERROR(I478/O478,0)</f>
        <v/>
      </c>
      <c r="U478" s="102">
        <f>IF(P478&lt;=K478,"Reorder Required","Stock Sufficient")</f>
        <v/>
      </c>
      <c r="V478" s="102">
        <f>IF(AND(Q478=M478,(U478="Reorder Required")=(N478="Reorder Required")),"OK","Mismatch")</f>
        <v/>
      </c>
      <c r="W478" s="99" t="inlineStr">
        <is>
          <t>Restock immediately</t>
        </is>
      </c>
    </row>
    <row r="479">
      <c r="A479" s="99" t="inlineStr">
        <is>
          <t>INV00478</t>
        </is>
      </c>
      <c r="B479" s="99" t="inlineStr">
        <is>
          <t>OUT010</t>
        </is>
      </c>
      <c r="C479" s="99">
        <f>INDEX(Lookup!$B$2:$B$11,MATCH(B479,Lookup!$A$2:$A$11,0))</f>
        <v/>
      </c>
      <c r="D479" s="99" t="inlineStr">
        <is>
          <t>BP028</t>
        </is>
      </c>
      <c r="E479" s="99">
        <f>INDEX(Lookup!$E$2:$E$51,MATCH(D479,Lookup!$D$2:$D$51,0))</f>
        <v/>
      </c>
      <c r="F479" s="99">
        <f>INDEX(Lookup!$F$2:$F$51,MATCH(D479,Lookup!$D$2:$D$51,0))</f>
        <v/>
      </c>
      <c r="G479" s="100" t="n">
        <v>126</v>
      </c>
      <c r="H479" s="100" t="n">
        <v>67</v>
      </c>
      <c r="I479" s="100" t="n">
        <v>100</v>
      </c>
      <c r="J479" s="100" t="n">
        <v>2</v>
      </c>
      <c r="K479" s="100" t="n">
        <v>38</v>
      </c>
      <c r="L479" s="100" t="n">
        <v>4</v>
      </c>
      <c r="M479" s="100" t="n">
        <v>91</v>
      </c>
      <c r="N479" s="99" t="inlineStr">
        <is>
          <t>Healthy</t>
        </is>
      </c>
      <c r="O479" s="100">
        <f>G479+H479</f>
        <v/>
      </c>
      <c r="P479" s="100">
        <f>G479+H479-I479-J479</f>
        <v/>
      </c>
      <c r="Q479" s="100">
        <f>MAX(0,P479)</f>
        <v/>
      </c>
      <c r="R479" s="100">
        <f>MAX(0,-P479)</f>
        <v/>
      </c>
      <c r="S479" s="101">
        <f>IFERROR(J479/O479,0)</f>
        <v/>
      </c>
      <c r="T479" s="101">
        <f>IFERROR(I479/O479,0)</f>
        <v/>
      </c>
      <c r="U479" s="102">
        <f>IF(P479&lt;=K479,"Reorder Required","Stock Sufficient")</f>
        <v/>
      </c>
      <c r="V479" s="102">
        <f>IF(AND(Q479=M479,(U479="Reorder Required")=(N479="Reorder Required")),"OK","Mismatch")</f>
        <v/>
      </c>
      <c r="W479" s="99" t="n"/>
    </row>
    <row r="480">
      <c r="A480" s="99" t="inlineStr">
        <is>
          <t>INV00479</t>
        </is>
      </c>
      <c r="B480" s="99" t="inlineStr">
        <is>
          <t>OUT010</t>
        </is>
      </c>
      <c r="C480" s="99">
        <f>INDEX(Lookup!$B$2:$B$11,MATCH(B480,Lookup!$A$2:$A$11,0))</f>
        <v/>
      </c>
      <c r="D480" s="99" t="inlineStr">
        <is>
          <t>BP029</t>
        </is>
      </c>
      <c r="E480" s="99">
        <f>INDEX(Lookup!$E$2:$E$51,MATCH(D480,Lookup!$D$2:$D$51,0))</f>
        <v/>
      </c>
      <c r="F480" s="99">
        <f>INDEX(Lookup!$F$2:$F$51,MATCH(D480,Lookup!$D$2:$D$51,0))</f>
        <v/>
      </c>
      <c r="G480" s="100" t="n">
        <v>146</v>
      </c>
      <c r="H480" s="100" t="n">
        <v>80</v>
      </c>
      <c r="I480" s="100" t="n">
        <v>73</v>
      </c>
      <c r="J480" s="100" t="n">
        <v>2</v>
      </c>
      <c r="K480" s="100" t="n">
        <v>28</v>
      </c>
      <c r="L480" s="100" t="n">
        <v>2</v>
      </c>
      <c r="M480" s="100" t="n">
        <v>151</v>
      </c>
      <c r="N480" s="99" t="inlineStr">
        <is>
          <t>Healthy</t>
        </is>
      </c>
      <c r="O480" s="100">
        <f>G480+H480</f>
        <v/>
      </c>
      <c r="P480" s="100">
        <f>G480+H480-I480-J480</f>
        <v/>
      </c>
      <c r="Q480" s="100">
        <f>MAX(0,P480)</f>
        <v/>
      </c>
      <c r="R480" s="100">
        <f>MAX(0,-P480)</f>
        <v/>
      </c>
      <c r="S480" s="101">
        <f>IFERROR(J480/O480,0)</f>
        <v/>
      </c>
      <c r="T480" s="101">
        <f>IFERROR(I480/O480,0)</f>
        <v/>
      </c>
      <c r="U480" s="102">
        <f>IF(P480&lt;=K480,"Reorder Required","Stock Sufficient")</f>
        <v/>
      </c>
      <c r="V480" s="102">
        <f>IF(AND(Q480=M480,(U480="Reorder Required")=(N480="Reorder Required")),"OK","Mismatch")</f>
        <v/>
      </c>
      <c r="W480" s="99" t="n"/>
    </row>
    <row r="481">
      <c r="A481" s="99" t="inlineStr">
        <is>
          <t>INV00480</t>
        </is>
      </c>
      <c r="B481" s="99" t="inlineStr">
        <is>
          <t>OUT010</t>
        </is>
      </c>
      <c r="C481" s="99">
        <f>INDEX(Lookup!$B$2:$B$11,MATCH(B481,Lookup!$A$2:$A$11,0))</f>
        <v/>
      </c>
      <c r="D481" s="99" t="inlineStr">
        <is>
          <t>BP030</t>
        </is>
      </c>
      <c r="E481" s="99">
        <f>INDEX(Lookup!$E$2:$E$51,MATCH(D481,Lookup!$D$2:$D$51,0))</f>
        <v/>
      </c>
      <c r="F481" s="99">
        <f>INDEX(Lookup!$F$2:$F$51,MATCH(D481,Lookup!$D$2:$D$51,0))</f>
        <v/>
      </c>
      <c r="G481" s="100" t="n">
        <v>107</v>
      </c>
      <c r="H481" s="100" t="n">
        <v>97</v>
      </c>
      <c r="I481" s="100" t="n">
        <v>84</v>
      </c>
      <c r="J481" s="100" t="n">
        <v>6</v>
      </c>
      <c r="K481" s="100" t="n">
        <v>29</v>
      </c>
      <c r="L481" s="100" t="n">
        <v>5</v>
      </c>
      <c r="M481" s="100" t="n">
        <v>114</v>
      </c>
      <c r="N481" s="99" t="inlineStr">
        <is>
          <t>Healthy</t>
        </is>
      </c>
      <c r="O481" s="100">
        <f>G481+H481</f>
        <v/>
      </c>
      <c r="P481" s="100">
        <f>G481+H481-I481-J481</f>
        <v/>
      </c>
      <c r="Q481" s="100">
        <f>MAX(0,P481)</f>
        <v/>
      </c>
      <c r="R481" s="100">
        <f>MAX(0,-P481)</f>
        <v/>
      </c>
      <c r="S481" s="101">
        <f>IFERROR(J481/O481,0)</f>
        <v/>
      </c>
      <c r="T481" s="101">
        <f>IFERROR(I481/O481,0)</f>
        <v/>
      </c>
      <c r="U481" s="102">
        <f>IF(P481&lt;=K481,"Reorder Required","Stock Sufficient")</f>
        <v/>
      </c>
      <c r="V481" s="102">
        <f>IF(AND(Q481=M481,(U481="Reorder Required")=(N481="Reorder Required")),"OK","Mismatch")</f>
        <v/>
      </c>
      <c r="W481" s="99" t="n"/>
    </row>
    <row r="482">
      <c r="A482" s="99" t="inlineStr">
        <is>
          <t>INV00481</t>
        </is>
      </c>
      <c r="B482" s="99" t="inlineStr">
        <is>
          <t>OUT010</t>
        </is>
      </c>
      <c r="C482" s="99">
        <f>INDEX(Lookup!$B$2:$B$11,MATCH(B482,Lookup!$A$2:$A$11,0))</f>
        <v/>
      </c>
      <c r="D482" s="99" t="inlineStr">
        <is>
          <t>BP031</t>
        </is>
      </c>
      <c r="E482" s="99">
        <f>INDEX(Lookup!$E$2:$E$51,MATCH(D482,Lookup!$D$2:$D$51,0))</f>
        <v/>
      </c>
      <c r="F482" s="99">
        <f>INDEX(Lookup!$F$2:$F$51,MATCH(D482,Lookup!$D$2:$D$51,0))</f>
        <v/>
      </c>
      <c r="G482" s="100" t="n">
        <v>134</v>
      </c>
      <c r="H482" s="100" t="n">
        <v>32</v>
      </c>
      <c r="I482" s="100" t="n">
        <v>38</v>
      </c>
      <c r="J482" s="100" t="n">
        <v>7</v>
      </c>
      <c r="K482" s="100" t="n">
        <v>22</v>
      </c>
      <c r="L482" s="100" t="n">
        <v>5</v>
      </c>
      <c r="M482" s="100" t="n">
        <v>121</v>
      </c>
      <c r="N482" s="99" t="inlineStr">
        <is>
          <t>Healthy</t>
        </is>
      </c>
      <c r="O482" s="100">
        <f>G482+H482</f>
        <v/>
      </c>
      <c r="P482" s="100">
        <f>G482+H482-I482-J482</f>
        <v/>
      </c>
      <c r="Q482" s="100">
        <f>MAX(0,P482)</f>
        <v/>
      </c>
      <c r="R482" s="100">
        <f>MAX(0,-P482)</f>
        <v/>
      </c>
      <c r="S482" s="101">
        <f>IFERROR(J482/O482,0)</f>
        <v/>
      </c>
      <c r="T482" s="101">
        <f>IFERROR(I482/O482,0)</f>
        <v/>
      </c>
      <c r="U482" s="102">
        <f>IF(P482&lt;=K482,"Reorder Required","Stock Sufficient")</f>
        <v/>
      </c>
      <c r="V482" s="102">
        <f>IF(AND(Q482=M482,(U482="Reorder Required")=(N482="Reorder Required")),"OK","Mismatch")</f>
        <v/>
      </c>
      <c r="W482" s="99" t="n"/>
    </row>
    <row r="483">
      <c r="A483" s="99" t="inlineStr">
        <is>
          <t>INV00482</t>
        </is>
      </c>
      <c r="B483" s="99" t="inlineStr">
        <is>
          <t>OUT010</t>
        </is>
      </c>
      <c r="C483" s="99">
        <f>INDEX(Lookup!$B$2:$B$11,MATCH(B483,Lookup!$A$2:$A$11,0))</f>
        <v/>
      </c>
      <c r="D483" s="99" t="inlineStr">
        <is>
          <t>BP032</t>
        </is>
      </c>
      <c r="E483" s="99">
        <f>INDEX(Lookup!$E$2:$E$51,MATCH(D483,Lookup!$D$2:$D$51,0))</f>
        <v/>
      </c>
      <c r="F483" s="99">
        <f>INDEX(Lookup!$F$2:$F$51,MATCH(D483,Lookup!$D$2:$D$51,0))</f>
        <v/>
      </c>
      <c r="G483" s="100" t="n">
        <v>139</v>
      </c>
      <c r="H483" s="100" t="n">
        <v>47</v>
      </c>
      <c r="I483" s="100" t="n">
        <v>66</v>
      </c>
      <c r="J483" s="100" t="n">
        <v>2</v>
      </c>
      <c r="K483" s="100" t="n">
        <v>37</v>
      </c>
      <c r="L483" s="100" t="n">
        <v>2</v>
      </c>
      <c r="M483" s="100" t="n">
        <v>118</v>
      </c>
      <c r="N483" s="99" t="inlineStr">
        <is>
          <t>Healthy</t>
        </is>
      </c>
      <c r="O483" s="100">
        <f>G483+H483</f>
        <v/>
      </c>
      <c r="P483" s="100">
        <f>G483+H483-I483-J483</f>
        <v/>
      </c>
      <c r="Q483" s="100">
        <f>MAX(0,P483)</f>
        <v/>
      </c>
      <c r="R483" s="100">
        <f>MAX(0,-P483)</f>
        <v/>
      </c>
      <c r="S483" s="101">
        <f>IFERROR(J483/O483,0)</f>
        <v/>
      </c>
      <c r="T483" s="101">
        <f>IFERROR(I483/O483,0)</f>
        <v/>
      </c>
      <c r="U483" s="102">
        <f>IF(P483&lt;=K483,"Reorder Required","Stock Sufficient")</f>
        <v/>
      </c>
      <c r="V483" s="102">
        <f>IF(AND(Q483=M483,(U483="Reorder Required")=(N483="Reorder Required")),"OK","Mismatch")</f>
        <v/>
      </c>
      <c r="W483" s="99" t="n"/>
    </row>
    <row r="484">
      <c r="A484" s="99" t="inlineStr">
        <is>
          <t>INV00483</t>
        </is>
      </c>
      <c r="B484" s="99" t="inlineStr">
        <is>
          <t>OUT010</t>
        </is>
      </c>
      <c r="C484" s="99">
        <f>INDEX(Lookup!$B$2:$B$11,MATCH(B484,Lookup!$A$2:$A$11,0))</f>
        <v/>
      </c>
      <c r="D484" s="99" t="inlineStr">
        <is>
          <t>BP033</t>
        </is>
      </c>
      <c r="E484" s="99">
        <f>INDEX(Lookup!$E$2:$E$51,MATCH(D484,Lookup!$D$2:$D$51,0))</f>
        <v/>
      </c>
      <c r="F484" s="99">
        <f>INDEX(Lookup!$F$2:$F$51,MATCH(D484,Lookup!$D$2:$D$51,0))</f>
        <v/>
      </c>
      <c r="G484" s="100" t="n">
        <v>136</v>
      </c>
      <c r="H484" s="100" t="n">
        <v>34</v>
      </c>
      <c r="I484" s="100" t="n">
        <v>111</v>
      </c>
      <c r="J484" s="100" t="n">
        <v>3</v>
      </c>
      <c r="K484" s="100" t="n">
        <v>22</v>
      </c>
      <c r="L484" s="100" t="n">
        <v>4</v>
      </c>
      <c r="M484" s="100" t="n">
        <v>56</v>
      </c>
      <c r="N484" s="99" t="inlineStr">
        <is>
          <t>Healthy</t>
        </is>
      </c>
      <c r="O484" s="100">
        <f>G484+H484</f>
        <v/>
      </c>
      <c r="P484" s="100">
        <f>G484+H484-I484-J484</f>
        <v/>
      </c>
      <c r="Q484" s="100">
        <f>MAX(0,P484)</f>
        <v/>
      </c>
      <c r="R484" s="100">
        <f>MAX(0,-P484)</f>
        <v/>
      </c>
      <c r="S484" s="101">
        <f>IFERROR(J484/O484,0)</f>
        <v/>
      </c>
      <c r="T484" s="101">
        <f>IFERROR(I484/O484,0)</f>
        <v/>
      </c>
      <c r="U484" s="102">
        <f>IF(P484&lt;=K484,"Reorder Required","Stock Sufficient")</f>
        <v/>
      </c>
      <c r="V484" s="102">
        <f>IF(AND(Q484=M484,(U484="Reorder Required")=(N484="Reorder Required")),"OK","Mismatch")</f>
        <v/>
      </c>
      <c r="W484" s="99" t="n"/>
    </row>
    <row r="485">
      <c r="A485" s="99" t="inlineStr">
        <is>
          <t>INV00484</t>
        </is>
      </c>
      <c r="B485" s="99" t="inlineStr">
        <is>
          <t>OUT010</t>
        </is>
      </c>
      <c r="C485" s="99">
        <f>INDEX(Lookup!$B$2:$B$11,MATCH(B485,Lookup!$A$2:$A$11,0))</f>
        <v/>
      </c>
      <c r="D485" s="99" t="inlineStr">
        <is>
          <t>BP034</t>
        </is>
      </c>
      <c r="E485" s="99">
        <f>INDEX(Lookup!$E$2:$E$51,MATCH(D485,Lookup!$D$2:$D$51,0))</f>
        <v/>
      </c>
      <c r="F485" s="99">
        <f>INDEX(Lookup!$F$2:$F$51,MATCH(D485,Lookup!$D$2:$D$51,0))</f>
        <v/>
      </c>
      <c r="G485" s="100" t="n">
        <v>118</v>
      </c>
      <c r="H485" s="100" t="n">
        <v>55</v>
      </c>
      <c r="I485" s="100" t="n">
        <v>111</v>
      </c>
      <c r="J485" s="100" t="n">
        <v>3</v>
      </c>
      <c r="K485" s="100" t="n">
        <v>34</v>
      </c>
      <c r="L485" s="100" t="n">
        <v>1</v>
      </c>
      <c r="M485" s="100" t="n">
        <v>59</v>
      </c>
      <c r="N485" s="99" t="inlineStr">
        <is>
          <t>Healthy</t>
        </is>
      </c>
      <c r="O485" s="100">
        <f>G485+H485</f>
        <v/>
      </c>
      <c r="P485" s="100">
        <f>G485+H485-I485-J485</f>
        <v/>
      </c>
      <c r="Q485" s="100">
        <f>MAX(0,P485)</f>
        <v/>
      </c>
      <c r="R485" s="100">
        <f>MAX(0,-P485)</f>
        <v/>
      </c>
      <c r="S485" s="101">
        <f>IFERROR(J485/O485,0)</f>
        <v/>
      </c>
      <c r="T485" s="101">
        <f>IFERROR(I485/O485,0)</f>
        <v/>
      </c>
      <c r="U485" s="102">
        <f>IF(P485&lt;=K485,"Reorder Required","Stock Sufficient")</f>
        <v/>
      </c>
      <c r="V485" s="102">
        <f>IF(AND(Q485=M485,(U485="Reorder Required")=(N485="Reorder Required")),"OK","Mismatch")</f>
        <v/>
      </c>
      <c r="W485" s="99" t="n"/>
    </row>
    <row r="486">
      <c r="A486" s="99" t="inlineStr">
        <is>
          <t>INV00485</t>
        </is>
      </c>
      <c r="B486" s="99" t="inlineStr">
        <is>
          <t>OUT010</t>
        </is>
      </c>
      <c r="C486" s="99">
        <f>INDEX(Lookup!$B$2:$B$11,MATCH(B486,Lookup!$A$2:$A$11,0))</f>
        <v/>
      </c>
      <c r="D486" s="99" t="inlineStr">
        <is>
          <t>BP035</t>
        </is>
      </c>
      <c r="E486" s="99">
        <f>INDEX(Lookup!$E$2:$E$51,MATCH(D486,Lookup!$D$2:$D$51,0))</f>
        <v/>
      </c>
      <c r="F486" s="99">
        <f>INDEX(Lookup!$F$2:$F$51,MATCH(D486,Lookup!$D$2:$D$51,0))</f>
        <v/>
      </c>
      <c r="G486" s="100" t="n">
        <v>118</v>
      </c>
      <c r="H486" s="100" t="n">
        <v>92</v>
      </c>
      <c r="I486" s="100" t="n">
        <v>81</v>
      </c>
      <c r="J486" s="100" t="n">
        <v>6</v>
      </c>
      <c r="K486" s="100" t="n">
        <v>31</v>
      </c>
      <c r="L486" s="100" t="n">
        <v>3</v>
      </c>
      <c r="M486" s="100" t="n">
        <v>123</v>
      </c>
      <c r="N486" s="99" t="inlineStr">
        <is>
          <t>Healthy</t>
        </is>
      </c>
      <c r="O486" s="100">
        <f>G486+H486</f>
        <v/>
      </c>
      <c r="P486" s="100">
        <f>G486+H486-I486-J486</f>
        <v/>
      </c>
      <c r="Q486" s="100">
        <f>MAX(0,P486)</f>
        <v/>
      </c>
      <c r="R486" s="100">
        <f>MAX(0,-P486)</f>
        <v/>
      </c>
      <c r="S486" s="101">
        <f>IFERROR(J486/O486,0)</f>
        <v/>
      </c>
      <c r="T486" s="101">
        <f>IFERROR(I486/O486,0)</f>
        <v/>
      </c>
      <c r="U486" s="102">
        <f>IF(P486&lt;=K486,"Reorder Required","Stock Sufficient")</f>
        <v/>
      </c>
      <c r="V486" s="102">
        <f>IF(AND(Q486=M486,(U486="Reorder Required")=(N486="Reorder Required")),"OK","Mismatch")</f>
        <v/>
      </c>
      <c r="W486" s="99" t="n"/>
    </row>
    <row r="487">
      <c r="A487" s="99" t="inlineStr">
        <is>
          <t>INV00486</t>
        </is>
      </c>
      <c r="B487" s="99" t="inlineStr">
        <is>
          <t>OUT010</t>
        </is>
      </c>
      <c r="C487" s="99">
        <f>INDEX(Lookup!$B$2:$B$11,MATCH(B487,Lookup!$A$2:$A$11,0))</f>
        <v/>
      </c>
      <c r="D487" s="99" t="inlineStr">
        <is>
          <t>BP036</t>
        </is>
      </c>
      <c r="E487" s="99">
        <f>INDEX(Lookup!$E$2:$E$51,MATCH(D487,Lookup!$D$2:$D$51,0))</f>
        <v/>
      </c>
      <c r="F487" s="99">
        <f>INDEX(Lookup!$F$2:$F$51,MATCH(D487,Lookup!$D$2:$D$51,0))</f>
        <v/>
      </c>
      <c r="G487" s="100" t="n">
        <v>60</v>
      </c>
      <c r="H487" s="100" t="n">
        <v>25</v>
      </c>
      <c r="I487" s="100" t="n">
        <v>119</v>
      </c>
      <c r="J487" s="100" t="n">
        <v>5</v>
      </c>
      <c r="K487" s="100" t="n">
        <v>21</v>
      </c>
      <c r="L487" s="100" t="n">
        <v>1</v>
      </c>
      <c r="M487" s="100" t="n">
        <v>0</v>
      </c>
      <c r="N487" s="99" t="inlineStr">
        <is>
          <t>Reorder Required</t>
        </is>
      </c>
      <c r="O487" s="100">
        <f>G487+H487</f>
        <v/>
      </c>
      <c r="P487" s="100">
        <f>G487+H487-I487-J487</f>
        <v/>
      </c>
      <c r="Q487" s="100">
        <f>MAX(0,P487)</f>
        <v/>
      </c>
      <c r="R487" s="100">
        <f>MAX(0,-P487)</f>
        <v/>
      </c>
      <c r="S487" s="101">
        <f>IFERROR(J487/O487,0)</f>
        <v/>
      </c>
      <c r="T487" s="101">
        <f>IFERROR(I487/O487,0)</f>
        <v/>
      </c>
      <c r="U487" s="102">
        <f>IF(P487&lt;=K487,"Reorder Required","Stock Sufficient")</f>
        <v/>
      </c>
      <c r="V487" s="102">
        <f>IF(AND(Q487=M487,(U487="Reorder Required")=(N487="Reorder Required")),"OK","Mismatch")</f>
        <v/>
      </c>
      <c r="W487" s="99" t="inlineStr">
        <is>
          <t>Restock immediately</t>
        </is>
      </c>
    </row>
    <row r="488">
      <c r="A488" s="99" t="inlineStr">
        <is>
          <t>INV00487</t>
        </is>
      </c>
      <c r="B488" s="99" t="inlineStr">
        <is>
          <t>OUT010</t>
        </is>
      </c>
      <c r="C488" s="99">
        <f>INDEX(Lookup!$B$2:$B$11,MATCH(B488,Lookup!$A$2:$A$11,0))</f>
        <v/>
      </c>
      <c r="D488" s="99" t="inlineStr">
        <is>
          <t>BP037</t>
        </is>
      </c>
      <c r="E488" s="99">
        <f>INDEX(Lookup!$E$2:$E$51,MATCH(D488,Lookup!$D$2:$D$51,0))</f>
        <v/>
      </c>
      <c r="F488" s="99">
        <f>INDEX(Lookup!$F$2:$F$51,MATCH(D488,Lookup!$D$2:$D$51,0))</f>
        <v/>
      </c>
      <c r="G488" s="100" t="n">
        <v>118</v>
      </c>
      <c r="H488" s="100" t="n">
        <v>70</v>
      </c>
      <c r="I488" s="100" t="n">
        <v>130</v>
      </c>
      <c r="J488" s="100" t="n">
        <v>6</v>
      </c>
      <c r="K488" s="100" t="n">
        <v>31</v>
      </c>
      <c r="L488" s="100" t="n">
        <v>3</v>
      </c>
      <c r="M488" s="100" t="n">
        <v>52</v>
      </c>
      <c r="N488" s="99" t="inlineStr">
        <is>
          <t>Healthy</t>
        </is>
      </c>
      <c r="O488" s="100">
        <f>G488+H488</f>
        <v/>
      </c>
      <c r="P488" s="100">
        <f>G488+H488-I488-J488</f>
        <v/>
      </c>
      <c r="Q488" s="100">
        <f>MAX(0,P488)</f>
        <v/>
      </c>
      <c r="R488" s="100">
        <f>MAX(0,-P488)</f>
        <v/>
      </c>
      <c r="S488" s="101">
        <f>IFERROR(J488/O488,0)</f>
        <v/>
      </c>
      <c r="T488" s="101">
        <f>IFERROR(I488/O488,0)</f>
        <v/>
      </c>
      <c r="U488" s="102">
        <f>IF(P488&lt;=K488,"Reorder Required","Stock Sufficient")</f>
        <v/>
      </c>
      <c r="V488" s="102">
        <f>IF(AND(Q488=M488,(U488="Reorder Required")=(N488="Reorder Required")),"OK","Mismatch")</f>
        <v/>
      </c>
      <c r="W488" s="99" t="n"/>
    </row>
    <row r="489">
      <c r="A489" s="99" t="inlineStr">
        <is>
          <t>INV00488</t>
        </is>
      </c>
      <c r="B489" s="99" t="inlineStr">
        <is>
          <t>OUT010</t>
        </is>
      </c>
      <c r="C489" s="99">
        <f>INDEX(Lookup!$B$2:$B$11,MATCH(B489,Lookup!$A$2:$A$11,0))</f>
        <v/>
      </c>
      <c r="D489" s="99" t="inlineStr">
        <is>
          <t>BP038</t>
        </is>
      </c>
      <c r="E489" s="99">
        <f>INDEX(Lookup!$E$2:$E$51,MATCH(D489,Lookup!$D$2:$D$51,0))</f>
        <v/>
      </c>
      <c r="F489" s="99">
        <f>INDEX(Lookup!$F$2:$F$51,MATCH(D489,Lookup!$D$2:$D$51,0))</f>
        <v/>
      </c>
      <c r="G489" s="100" t="n">
        <v>53</v>
      </c>
      <c r="H489" s="100" t="n">
        <v>55</v>
      </c>
      <c r="I489" s="100" t="n">
        <v>37</v>
      </c>
      <c r="J489" s="100" t="n">
        <v>5</v>
      </c>
      <c r="K489" s="100" t="n">
        <v>39</v>
      </c>
      <c r="L489" s="100" t="n">
        <v>2</v>
      </c>
      <c r="M489" s="100" t="n">
        <v>66</v>
      </c>
      <c r="N489" s="99" t="inlineStr">
        <is>
          <t>Healthy</t>
        </is>
      </c>
      <c r="O489" s="100">
        <f>G489+H489</f>
        <v/>
      </c>
      <c r="P489" s="100">
        <f>G489+H489-I489-J489</f>
        <v/>
      </c>
      <c r="Q489" s="100">
        <f>MAX(0,P489)</f>
        <v/>
      </c>
      <c r="R489" s="100">
        <f>MAX(0,-P489)</f>
        <v/>
      </c>
      <c r="S489" s="101">
        <f>IFERROR(J489/O489,0)</f>
        <v/>
      </c>
      <c r="T489" s="101">
        <f>IFERROR(I489/O489,0)</f>
        <v/>
      </c>
      <c r="U489" s="102">
        <f>IF(P489&lt;=K489,"Reorder Required","Stock Sufficient")</f>
        <v/>
      </c>
      <c r="V489" s="102">
        <f>IF(AND(Q489=M489,(U489="Reorder Required")=(N489="Reorder Required")),"OK","Mismatch")</f>
        <v/>
      </c>
      <c r="W489" s="99" t="n"/>
    </row>
    <row r="490">
      <c r="A490" s="99" t="inlineStr">
        <is>
          <t>INV00489</t>
        </is>
      </c>
      <c r="B490" s="99" t="inlineStr">
        <is>
          <t>OUT010</t>
        </is>
      </c>
      <c r="C490" s="99">
        <f>INDEX(Lookup!$B$2:$B$11,MATCH(B490,Lookup!$A$2:$A$11,0))</f>
        <v/>
      </c>
      <c r="D490" s="99" t="inlineStr">
        <is>
          <t>BP039</t>
        </is>
      </c>
      <c r="E490" s="99">
        <f>INDEX(Lookup!$E$2:$E$51,MATCH(D490,Lookup!$D$2:$D$51,0))</f>
        <v/>
      </c>
      <c r="F490" s="99">
        <f>INDEX(Lookup!$F$2:$F$51,MATCH(D490,Lookup!$D$2:$D$51,0))</f>
        <v/>
      </c>
      <c r="G490" s="100" t="n">
        <v>88</v>
      </c>
      <c r="H490" s="100" t="n">
        <v>98</v>
      </c>
      <c r="I490" s="100" t="n">
        <v>67</v>
      </c>
      <c r="J490" s="100" t="n">
        <v>6</v>
      </c>
      <c r="K490" s="100" t="n">
        <v>31</v>
      </c>
      <c r="L490" s="100" t="n">
        <v>1</v>
      </c>
      <c r="M490" s="100" t="n">
        <v>113</v>
      </c>
      <c r="N490" s="99" t="inlineStr">
        <is>
          <t>Healthy</t>
        </is>
      </c>
      <c r="O490" s="100">
        <f>G490+H490</f>
        <v/>
      </c>
      <c r="P490" s="100">
        <f>G490+H490-I490-J490</f>
        <v/>
      </c>
      <c r="Q490" s="100">
        <f>MAX(0,P490)</f>
        <v/>
      </c>
      <c r="R490" s="100">
        <f>MAX(0,-P490)</f>
        <v/>
      </c>
      <c r="S490" s="101">
        <f>IFERROR(J490/O490,0)</f>
        <v/>
      </c>
      <c r="T490" s="101">
        <f>IFERROR(I490/O490,0)</f>
        <v/>
      </c>
      <c r="U490" s="102">
        <f>IF(P490&lt;=K490,"Reorder Required","Stock Sufficient")</f>
        <v/>
      </c>
      <c r="V490" s="102">
        <f>IF(AND(Q490=M490,(U490="Reorder Required")=(N490="Reorder Required")),"OK","Mismatch")</f>
        <v/>
      </c>
      <c r="W490" s="99" t="n"/>
    </row>
    <row r="491">
      <c r="A491" s="99" t="inlineStr">
        <is>
          <t>INV00490</t>
        </is>
      </c>
      <c r="B491" s="99" t="inlineStr">
        <is>
          <t>OUT010</t>
        </is>
      </c>
      <c r="C491" s="99">
        <f>INDEX(Lookup!$B$2:$B$11,MATCH(B491,Lookup!$A$2:$A$11,0))</f>
        <v/>
      </c>
      <c r="D491" s="99" t="inlineStr">
        <is>
          <t>BP040</t>
        </is>
      </c>
      <c r="E491" s="99">
        <f>INDEX(Lookup!$E$2:$E$51,MATCH(D491,Lookup!$D$2:$D$51,0))</f>
        <v/>
      </c>
      <c r="F491" s="99">
        <f>INDEX(Lookup!$F$2:$F$51,MATCH(D491,Lookup!$D$2:$D$51,0))</f>
        <v/>
      </c>
      <c r="G491" s="100" t="n">
        <v>49</v>
      </c>
      <c r="H491" s="100" t="n">
        <v>53</v>
      </c>
      <c r="I491" s="100" t="n">
        <v>91</v>
      </c>
      <c r="J491" s="100" t="n">
        <v>3</v>
      </c>
      <c r="K491" s="100" t="n">
        <v>33</v>
      </c>
      <c r="L491" s="100" t="n">
        <v>1</v>
      </c>
      <c r="M491" s="100" t="n">
        <v>8</v>
      </c>
      <c r="N491" s="99" t="inlineStr">
        <is>
          <t>Reorder Required</t>
        </is>
      </c>
      <c r="O491" s="100">
        <f>G491+H491</f>
        <v/>
      </c>
      <c r="P491" s="100">
        <f>G491+H491-I491-J491</f>
        <v/>
      </c>
      <c r="Q491" s="100">
        <f>MAX(0,P491)</f>
        <v/>
      </c>
      <c r="R491" s="100">
        <f>MAX(0,-P491)</f>
        <v/>
      </c>
      <c r="S491" s="101">
        <f>IFERROR(J491/O491,0)</f>
        <v/>
      </c>
      <c r="T491" s="101">
        <f>IFERROR(I491/O491,0)</f>
        <v/>
      </c>
      <c r="U491" s="102">
        <f>IF(P491&lt;=K491,"Reorder Required","Stock Sufficient")</f>
        <v/>
      </c>
      <c r="V491" s="102">
        <f>IF(AND(Q491=M491,(U491="Reorder Required")=(N491="Reorder Required")),"OK","Mismatch")</f>
        <v/>
      </c>
      <c r="W491" s="99" t="inlineStr">
        <is>
          <t>Restock immediately</t>
        </is>
      </c>
    </row>
    <row r="492">
      <c r="A492" s="99" t="inlineStr">
        <is>
          <t>INV00491</t>
        </is>
      </c>
      <c r="B492" s="99" t="inlineStr">
        <is>
          <t>OUT010</t>
        </is>
      </c>
      <c r="C492" s="99">
        <f>INDEX(Lookup!$B$2:$B$11,MATCH(B492,Lookup!$A$2:$A$11,0))</f>
        <v/>
      </c>
      <c r="D492" s="99" t="inlineStr">
        <is>
          <t>BP041</t>
        </is>
      </c>
      <c r="E492" s="99">
        <f>INDEX(Lookup!$E$2:$E$51,MATCH(D492,Lookup!$D$2:$D$51,0))</f>
        <v/>
      </c>
      <c r="F492" s="99">
        <f>INDEX(Lookup!$F$2:$F$51,MATCH(D492,Lookup!$D$2:$D$51,0))</f>
        <v/>
      </c>
      <c r="G492" s="100" t="n">
        <v>60</v>
      </c>
      <c r="H492" s="100" t="n">
        <v>91</v>
      </c>
      <c r="I492" s="100" t="n">
        <v>70</v>
      </c>
      <c r="J492" s="100" t="n">
        <v>1</v>
      </c>
      <c r="K492" s="100" t="n">
        <v>19</v>
      </c>
      <c r="L492" s="100" t="n">
        <v>3</v>
      </c>
      <c r="M492" s="100" t="n">
        <v>80</v>
      </c>
      <c r="N492" s="99" t="inlineStr">
        <is>
          <t>Healthy</t>
        </is>
      </c>
      <c r="O492" s="100">
        <f>G492+H492</f>
        <v/>
      </c>
      <c r="P492" s="100">
        <f>G492+H492-I492-J492</f>
        <v/>
      </c>
      <c r="Q492" s="100">
        <f>MAX(0,P492)</f>
        <v/>
      </c>
      <c r="R492" s="100">
        <f>MAX(0,-P492)</f>
        <v/>
      </c>
      <c r="S492" s="101">
        <f>IFERROR(J492/O492,0)</f>
        <v/>
      </c>
      <c r="T492" s="101">
        <f>IFERROR(I492/O492,0)</f>
        <v/>
      </c>
      <c r="U492" s="102">
        <f>IF(P492&lt;=K492,"Reorder Required","Stock Sufficient")</f>
        <v/>
      </c>
      <c r="V492" s="102">
        <f>IF(AND(Q492=M492,(U492="Reorder Required")=(N492="Reorder Required")),"OK","Mismatch")</f>
        <v/>
      </c>
      <c r="W492" s="99" t="n"/>
    </row>
    <row r="493">
      <c r="A493" s="99" t="inlineStr">
        <is>
          <t>INV00492</t>
        </is>
      </c>
      <c r="B493" s="99" t="inlineStr">
        <is>
          <t>OUT010</t>
        </is>
      </c>
      <c r="C493" s="99">
        <f>INDEX(Lookup!$B$2:$B$11,MATCH(B493,Lookup!$A$2:$A$11,0))</f>
        <v/>
      </c>
      <c r="D493" s="99" t="inlineStr">
        <is>
          <t>BP042</t>
        </is>
      </c>
      <c r="E493" s="99">
        <f>INDEX(Lookup!$E$2:$E$51,MATCH(D493,Lookup!$D$2:$D$51,0))</f>
        <v/>
      </c>
      <c r="F493" s="99">
        <f>INDEX(Lookup!$F$2:$F$51,MATCH(D493,Lookup!$D$2:$D$51,0))</f>
        <v/>
      </c>
      <c r="G493" s="100" t="n">
        <v>125</v>
      </c>
      <c r="H493" s="100" t="n">
        <v>85</v>
      </c>
      <c r="I493" s="100" t="n">
        <v>57</v>
      </c>
      <c r="J493" s="100" t="n">
        <v>3</v>
      </c>
      <c r="K493" s="100" t="n">
        <v>22</v>
      </c>
      <c r="L493" s="100" t="n">
        <v>1</v>
      </c>
      <c r="M493" s="100" t="n">
        <v>150</v>
      </c>
      <c r="N493" s="99" t="inlineStr">
        <is>
          <t>Healthy</t>
        </is>
      </c>
      <c r="O493" s="100">
        <f>G493+H493</f>
        <v/>
      </c>
      <c r="P493" s="100">
        <f>G493+H493-I493-J493</f>
        <v/>
      </c>
      <c r="Q493" s="100">
        <f>MAX(0,P493)</f>
        <v/>
      </c>
      <c r="R493" s="100">
        <f>MAX(0,-P493)</f>
        <v/>
      </c>
      <c r="S493" s="101">
        <f>IFERROR(J493/O493,0)</f>
        <v/>
      </c>
      <c r="T493" s="101">
        <f>IFERROR(I493/O493,0)</f>
        <v/>
      </c>
      <c r="U493" s="102">
        <f>IF(P493&lt;=K493,"Reorder Required","Stock Sufficient")</f>
        <v/>
      </c>
      <c r="V493" s="102">
        <f>IF(AND(Q493=M493,(U493="Reorder Required")=(N493="Reorder Required")),"OK","Mismatch")</f>
        <v/>
      </c>
      <c r="W493" s="99" t="n"/>
    </row>
    <row r="494">
      <c r="A494" s="99" t="inlineStr">
        <is>
          <t>INV00493</t>
        </is>
      </c>
      <c r="B494" s="99" t="inlineStr">
        <is>
          <t>OUT010</t>
        </is>
      </c>
      <c r="C494" s="99">
        <f>INDEX(Lookup!$B$2:$B$11,MATCH(B494,Lookup!$A$2:$A$11,0))</f>
        <v/>
      </c>
      <c r="D494" s="99" t="inlineStr">
        <is>
          <t>BP043</t>
        </is>
      </c>
      <c r="E494" s="99">
        <f>INDEX(Lookup!$E$2:$E$51,MATCH(D494,Lookup!$D$2:$D$51,0))</f>
        <v/>
      </c>
      <c r="F494" s="99">
        <f>INDEX(Lookup!$F$2:$F$51,MATCH(D494,Lookup!$D$2:$D$51,0))</f>
        <v/>
      </c>
      <c r="G494" s="100" t="n">
        <v>79</v>
      </c>
      <c r="H494" s="100" t="n">
        <v>62</v>
      </c>
      <c r="I494" s="100" t="n">
        <v>113</v>
      </c>
      <c r="J494" s="100" t="n">
        <v>2</v>
      </c>
      <c r="K494" s="100" t="n">
        <v>27</v>
      </c>
      <c r="L494" s="100" t="n">
        <v>1</v>
      </c>
      <c r="M494" s="100" t="n">
        <v>26</v>
      </c>
      <c r="N494" s="99" t="inlineStr">
        <is>
          <t>Reorder Required</t>
        </is>
      </c>
      <c r="O494" s="100">
        <f>G494+H494</f>
        <v/>
      </c>
      <c r="P494" s="100">
        <f>G494+H494-I494-J494</f>
        <v/>
      </c>
      <c r="Q494" s="100">
        <f>MAX(0,P494)</f>
        <v/>
      </c>
      <c r="R494" s="100">
        <f>MAX(0,-P494)</f>
        <v/>
      </c>
      <c r="S494" s="101">
        <f>IFERROR(J494/O494,0)</f>
        <v/>
      </c>
      <c r="T494" s="101">
        <f>IFERROR(I494/O494,0)</f>
        <v/>
      </c>
      <c r="U494" s="102">
        <f>IF(P494&lt;=K494,"Reorder Required","Stock Sufficient")</f>
        <v/>
      </c>
      <c r="V494" s="102">
        <f>IF(AND(Q494=M494,(U494="Reorder Required")=(N494="Reorder Required")),"OK","Mismatch")</f>
        <v/>
      </c>
      <c r="W494" s="99" t="inlineStr">
        <is>
          <t>Restock immediately</t>
        </is>
      </c>
    </row>
    <row r="495">
      <c r="A495" s="99" t="inlineStr">
        <is>
          <t>INV00494</t>
        </is>
      </c>
      <c r="B495" s="99" t="inlineStr">
        <is>
          <t>OUT010</t>
        </is>
      </c>
      <c r="C495" s="99">
        <f>INDEX(Lookup!$B$2:$B$11,MATCH(B495,Lookup!$A$2:$A$11,0))</f>
        <v/>
      </c>
      <c r="D495" s="99" t="inlineStr">
        <is>
          <t>BP044</t>
        </is>
      </c>
      <c r="E495" s="99">
        <f>INDEX(Lookup!$E$2:$E$51,MATCH(D495,Lookup!$D$2:$D$51,0))</f>
        <v/>
      </c>
      <c r="F495" s="99">
        <f>INDEX(Lookup!$F$2:$F$51,MATCH(D495,Lookup!$D$2:$D$51,0))</f>
        <v/>
      </c>
      <c r="G495" s="100" t="n">
        <v>124</v>
      </c>
      <c r="H495" s="100" t="n">
        <v>35</v>
      </c>
      <c r="I495" s="100" t="n">
        <v>124</v>
      </c>
      <c r="J495" s="100" t="n">
        <v>3</v>
      </c>
      <c r="K495" s="100" t="n">
        <v>21</v>
      </c>
      <c r="L495" s="100" t="n">
        <v>3</v>
      </c>
      <c r="M495" s="100" t="n">
        <v>32</v>
      </c>
      <c r="N495" s="99" t="inlineStr">
        <is>
          <t>Healthy</t>
        </is>
      </c>
      <c r="O495" s="100">
        <f>G495+H495</f>
        <v/>
      </c>
      <c r="P495" s="100">
        <f>G495+H495-I495-J495</f>
        <v/>
      </c>
      <c r="Q495" s="100">
        <f>MAX(0,P495)</f>
        <v/>
      </c>
      <c r="R495" s="100">
        <f>MAX(0,-P495)</f>
        <v/>
      </c>
      <c r="S495" s="101">
        <f>IFERROR(J495/O495,0)</f>
        <v/>
      </c>
      <c r="T495" s="101">
        <f>IFERROR(I495/O495,0)</f>
        <v/>
      </c>
      <c r="U495" s="102">
        <f>IF(P495&lt;=K495,"Reorder Required","Stock Sufficient")</f>
        <v/>
      </c>
      <c r="V495" s="102">
        <f>IF(AND(Q495=M495,(U495="Reorder Required")=(N495="Reorder Required")),"OK","Mismatch")</f>
        <v/>
      </c>
      <c r="W495" s="99" t="n"/>
    </row>
    <row r="496">
      <c r="A496" s="99" t="inlineStr">
        <is>
          <t>INV00495</t>
        </is>
      </c>
      <c r="B496" s="99" t="inlineStr">
        <is>
          <t>OUT010</t>
        </is>
      </c>
      <c r="C496" s="99">
        <f>INDEX(Lookup!$B$2:$B$11,MATCH(B496,Lookup!$A$2:$A$11,0))</f>
        <v/>
      </c>
      <c r="D496" s="99" t="inlineStr">
        <is>
          <t>BP045</t>
        </is>
      </c>
      <c r="E496" s="99">
        <f>INDEX(Lookup!$E$2:$E$51,MATCH(D496,Lookup!$D$2:$D$51,0))</f>
        <v/>
      </c>
      <c r="F496" s="99">
        <f>INDEX(Lookup!$F$2:$F$51,MATCH(D496,Lookup!$D$2:$D$51,0))</f>
        <v/>
      </c>
      <c r="G496" s="100" t="n">
        <v>105</v>
      </c>
      <c r="H496" s="100" t="n">
        <v>78</v>
      </c>
      <c r="I496" s="100" t="n">
        <v>44</v>
      </c>
      <c r="J496" s="100" t="n">
        <v>2</v>
      </c>
      <c r="K496" s="100" t="n">
        <v>28</v>
      </c>
      <c r="L496" s="100" t="n">
        <v>4</v>
      </c>
      <c r="M496" s="100" t="n">
        <v>137</v>
      </c>
      <c r="N496" s="99" t="inlineStr">
        <is>
          <t>Healthy</t>
        </is>
      </c>
      <c r="O496" s="100">
        <f>G496+H496</f>
        <v/>
      </c>
      <c r="P496" s="100">
        <f>G496+H496-I496-J496</f>
        <v/>
      </c>
      <c r="Q496" s="100">
        <f>MAX(0,P496)</f>
        <v/>
      </c>
      <c r="R496" s="100">
        <f>MAX(0,-P496)</f>
        <v/>
      </c>
      <c r="S496" s="101">
        <f>IFERROR(J496/O496,0)</f>
        <v/>
      </c>
      <c r="T496" s="101">
        <f>IFERROR(I496/O496,0)</f>
        <v/>
      </c>
      <c r="U496" s="102">
        <f>IF(P496&lt;=K496,"Reorder Required","Stock Sufficient")</f>
        <v/>
      </c>
      <c r="V496" s="102">
        <f>IF(AND(Q496=M496,(U496="Reorder Required")=(N496="Reorder Required")),"OK","Mismatch")</f>
        <v/>
      </c>
      <c r="W496" s="99" t="n"/>
    </row>
    <row r="497">
      <c r="A497" s="99" t="inlineStr">
        <is>
          <t>INV00496</t>
        </is>
      </c>
      <c r="B497" s="99" t="inlineStr">
        <is>
          <t>OUT010</t>
        </is>
      </c>
      <c r="C497" s="99">
        <f>INDEX(Lookup!$B$2:$B$11,MATCH(B497,Lookup!$A$2:$A$11,0))</f>
        <v/>
      </c>
      <c r="D497" s="99" t="inlineStr">
        <is>
          <t>BP046</t>
        </is>
      </c>
      <c r="E497" s="99">
        <f>INDEX(Lookup!$E$2:$E$51,MATCH(D497,Lookup!$D$2:$D$51,0))</f>
        <v/>
      </c>
      <c r="F497" s="99">
        <f>INDEX(Lookup!$F$2:$F$51,MATCH(D497,Lookup!$D$2:$D$51,0))</f>
        <v/>
      </c>
      <c r="G497" s="100" t="n">
        <v>138</v>
      </c>
      <c r="H497" s="100" t="n">
        <v>85</v>
      </c>
      <c r="I497" s="100" t="n">
        <v>60</v>
      </c>
      <c r="J497" s="100" t="n">
        <v>3</v>
      </c>
      <c r="K497" s="100" t="n">
        <v>22</v>
      </c>
      <c r="L497" s="100" t="n">
        <v>2</v>
      </c>
      <c r="M497" s="100" t="n">
        <v>160</v>
      </c>
      <c r="N497" s="99" t="inlineStr">
        <is>
          <t>Healthy</t>
        </is>
      </c>
      <c r="O497" s="100">
        <f>G497+H497</f>
        <v/>
      </c>
      <c r="P497" s="100">
        <f>G497+H497-I497-J497</f>
        <v/>
      </c>
      <c r="Q497" s="100">
        <f>MAX(0,P497)</f>
        <v/>
      </c>
      <c r="R497" s="100">
        <f>MAX(0,-P497)</f>
        <v/>
      </c>
      <c r="S497" s="101">
        <f>IFERROR(J497/O497,0)</f>
        <v/>
      </c>
      <c r="T497" s="101">
        <f>IFERROR(I497/O497,0)</f>
        <v/>
      </c>
      <c r="U497" s="102">
        <f>IF(P497&lt;=K497,"Reorder Required","Stock Sufficient")</f>
        <v/>
      </c>
      <c r="V497" s="102">
        <f>IF(AND(Q497=M497,(U497="Reorder Required")=(N497="Reorder Required")),"OK","Mismatch")</f>
        <v/>
      </c>
      <c r="W497" s="99" t="n"/>
    </row>
    <row r="498">
      <c r="A498" s="99" t="inlineStr">
        <is>
          <t>INV00497</t>
        </is>
      </c>
      <c r="B498" s="99" t="inlineStr">
        <is>
          <t>OUT010</t>
        </is>
      </c>
      <c r="C498" s="99">
        <f>INDEX(Lookup!$B$2:$B$11,MATCH(B498,Lookup!$A$2:$A$11,0))</f>
        <v/>
      </c>
      <c r="D498" s="99" t="inlineStr">
        <is>
          <t>BP047</t>
        </is>
      </c>
      <c r="E498" s="99">
        <f>INDEX(Lookup!$E$2:$E$51,MATCH(D498,Lookup!$D$2:$D$51,0))</f>
        <v/>
      </c>
      <c r="F498" s="99">
        <f>INDEX(Lookup!$F$2:$F$51,MATCH(D498,Lookup!$D$2:$D$51,0))</f>
        <v/>
      </c>
      <c r="G498" s="100" t="n">
        <v>87</v>
      </c>
      <c r="H498" s="100" t="n">
        <v>37</v>
      </c>
      <c r="I498" s="100" t="n">
        <v>72</v>
      </c>
      <c r="J498" s="100" t="n">
        <v>1</v>
      </c>
      <c r="K498" s="100" t="n">
        <v>22</v>
      </c>
      <c r="L498" s="100" t="n">
        <v>4</v>
      </c>
      <c r="M498" s="100" t="n">
        <v>51</v>
      </c>
      <c r="N498" s="99" t="inlineStr">
        <is>
          <t>Healthy</t>
        </is>
      </c>
      <c r="O498" s="100">
        <f>G498+H498</f>
        <v/>
      </c>
      <c r="P498" s="100">
        <f>G498+H498-I498-J498</f>
        <v/>
      </c>
      <c r="Q498" s="100">
        <f>MAX(0,P498)</f>
        <v/>
      </c>
      <c r="R498" s="100">
        <f>MAX(0,-P498)</f>
        <v/>
      </c>
      <c r="S498" s="101">
        <f>IFERROR(J498/O498,0)</f>
        <v/>
      </c>
      <c r="T498" s="101">
        <f>IFERROR(I498/O498,0)</f>
        <v/>
      </c>
      <c r="U498" s="102">
        <f>IF(P498&lt;=K498,"Reorder Required","Stock Sufficient")</f>
        <v/>
      </c>
      <c r="V498" s="102">
        <f>IF(AND(Q498=M498,(U498="Reorder Required")=(N498="Reorder Required")),"OK","Mismatch")</f>
        <v/>
      </c>
      <c r="W498" s="99" t="n"/>
    </row>
    <row r="499">
      <c r="A499" s="99" t="inlineStr">
        <is>
          <t>INV00498</t>
        </is>
      </c>
      <c r="B499" s="99" t="inlineStr">
        <is>
          <t>OUT010</t>
        </is>
      </c>
      <c r="C499" s="99">
        <f>INDEX(Lookup!$B$2:$B$11,MATCH(B499,Lookup!$A$2:$A$11,0))</f>
        <v/>
      </c>
      <c r="D499" s="99" t="inlineStr">
        <is>
          <t>BP048</t>
        </is>
      </c>
      <c r="E499" s="99">
        <f>INDEX(Lookup!$E$2:$E$51,MATCH(D499,Lookup!$D$2:$D$51,0))</f>
        <v/>
      </c>
      <c r="F499" s="99">
        <f>INDEX(Lookup!$F$2:$F$51,MATCH(D499,Lookup!$D$2:$D$51,0))</f>
        <v/>
      </c>
      <c r="G499" s="100" t="n">
        <v>69</v>
      </c>
      <c r="H499" s="100" t="n">
        <v>26</v>
      </c>
      <c r="I499" s="100" t="n">
        <v>64</v>
      </c>
      <c r="J499" s="100" t="n">
        <v>0</v>
      </c>
      <c r="K499" s="100" t="n">
        <v>31</v>
      </c>
      <c r="L499" s="100" t="n">
        <v>3</v>
      </c>
      <c r="M499" s="100" t="n">
        <v>31</v>
      </c>
      <c r="N499" s="99" t="inlineStr">
        <is>
          <t>Reorder Required</t>
        </is>
      </c>
      <c r="O499" s="100">
        <f>G499+H499</f>
        <v/>
      </c>
      <c r="P499" s="100">
        <f>G499+H499-I499-J499</f>
        <v/>
      </c>
      <c r="Q499" s="100">
        <f>MAX(0,P499)</f>
        <v/>
      </c>
      <c r="R499" s="100">
        <f>MAX(0,-P499)</f>
        <v/>
      </c>
      <c r="S499" s="101">
        <f>IFERROR(J499/O499,0)</f>
        <v/>
      </c>
      <c r="T499" s="101">
        <f>IFERROR(I499/O499,0)</f>
        <v/>
      </c>
      <c r="U499" s="102">
        <f>IF(P499&lt;=K499,"Reorder Required","Stock Sufficient")</f>
        <v/>
      </c>
      <c r="V499" s="102">
        <f>IF(AND(Q499=M499,(U499="Reorder Required")=(N499="Reorder Required")),"OK","Mismatch")</f>
        <v/>
      </c>
      <c r="W499" s="99" t="inlineStr">
        <is>
          <t>Restock immediately</t>
        </is>
      </c>
    </row>
    <row r="500">
      <c r="A500" s="99" t="inlineStr">
        <is>
          <t>INV00499</t>
        </is>
      </c>
      <c r="B500" s="99" t="inlineStr">
        <is>
          <t>OUT010</t>
        </is>
      </c>
      <c r="C500" s="99">
        <f>INDEX(Lookup!$B$2:$B$11,MATCH(B500,Lookup!$A$2:$A$11,0))</f>
        <v/>
      </c>
      <c r="D500" s="99" t="inlineStr">
        <is>
          <t>BP049</t>
        </is>
      </c>
      <c r="E500" s="99">
        <f>INDEX(Lookup!$E$2:$E$51,MATCH(D500,Lookup!$D$2:$D$51,0))</f>
        <v/>
      </c>
      <c r="F500" s="99">
        <f>INDEX(Lookup!$F$2:$F$51,MATCH(D500,Lookup!$D$2:$D$51,0))</f>
        <v/>
      </c>
      <c r="G500" s="100" t="n">
        <v>66</v>
      </c>
      <c r="H500" s="100" t="n">
        <v>58</v>
      </c>
      <c r="I500" s="100" t="n">
        <v>101</v>
      </c>
      <c r="J500" s="100" t="n">
        <v>0</v>
      </c>
      <c r="K500" s="100" t="n">
        <v>33</v>
      </c>
      <c r="L500" s="100" t="n">
        <v>3</v>
      </c>
      <c r="M500" s="100" t="n">
        <v>23</v>
      </c>
      <c r="N500" s="99" t="inlineStr">
        <is>
          <t>Reorder Required</t>
        </is>
      </c>
      <c r="O500" s="100">
        <f>G500+H500</f>
        <v/>
      </c>
      <c r="P500" s="100">
        <f>G500+H500-I500-J500</f>
        <v/>
      </c>
      <c r="Q500" s="100">
        <f>MAX(0,P500)</f>
        <v/>
      </c>
      <c r="R500" s="100">
        <f>MAX(0,-P500)</f>
        <v/>
      </c>
      <c r="S500" s="101">
        <f>IFERROR(J500/O500,0)</f>
        <v/>
      </c>
      <c r="T500" s="101">
        <f>IFERROR(I500/O500,0)</f>
        <v/>
      </c>
      <c r="U500" s="102">
        <f>IF(P500&lt;=K500,"Reorder Required","Stock Sufficient")</f>
        <v/>
      </c>
      <c r="V500" s="102">
        <f>IF(AND(Q500=M500,(U500="Reorder Required")=(N500="Reorder Required")),"OK","Mismatch")</f>
        <v/>
      </c>
      <c r="W500" s="99" t="inlineStr">
        <is>
          <t>Restock immediately</t>
        </is>
      </c>
    </row>
    <row r="501">
      <c r="A501" s="99" t="inlineStr">
        <is>
          <t>INV00500</t>
        </is>
      </c>
      <c r="B501" s="99" t="inlineStr">
        <is>
          <t>OUT010</t>
        </is>
      </c>
      <c r="C501" s="99">
        <f>INDEX(Lookup!$B$2:$B$11,MATCH(B501,Lookup!$A$2:$A$11,0))</f>
        <v/>
      </c>
      <c r="D501" s="99" t="inlineStr">
        <is>
          <t>BP050</t>
        </is>
      </c>
      <c r="E501" s="99">
        <f>INDEX(Lookup!$E$2:$E$51,MATCH(D501,Lookup!$D$2:$D$51,0))</f>
        <v/>
      </c>
      <c r="F501" s="99">
        <f>INDEX(Lookup!$F$2:$F$51,MATCH(D501,Lookup!$D$2:$D$51,0))</f>
        <v/>
      </c>
      <c r="G501" s="100" t="n">
        <v>118</v>
      </c>
      <c r="H501" s="100" t="n">
        <v>38</v>
      </c>
      <c r="I501" s="100" t="n">
        <v>94</v>
      </c>
      <c r="J501" s="100" t="n">
        <v>1</v>
      </c>
      <c r="K501" s="100" t="n">
        <v>34</v>
      </c>
      <c r="L501" s="100" t="n">
        <v>2</v>
      </c>
      <c r="M501" s="100" t="n">
        <v>61</v>
      </c>
      <c r="N501" s="99" t="inlineStr">
        <is>
          <t>Healthy</t>
        </is>
      </c>
      <c r="O501" s="100">
        <f>G501+H501</f>
        <v/>
      </c>
      <c r="P501" s="100">
        <f>G501+H501-I501-J501</f>
        <v/>
      </c>
      <c r="Q501" s="100">
        <f>MAX(0,P501)</f>
        <v/>
      </c>
      <c r="R501" s="100">
        <f>MAX(0,-P501)</f>
        <v/>
      </c>
      <c r="S501" s="101">
        <f>IFERROR(J501/O501,0)</f>
        <v/>
      </c>
      <c r="T501" s="101">
        <f>IFERROR(I501/O501,0)</f>
        <v/>
      </c>
      <c r="U501" s="102">
        <f>IF(P501&lt;=K501,"Reorder Required","Stock Sufficient")</f>
        <v/>
      </c>
      <c r="V501" s="102">
        <f>IF(AND(Q501=M501,(U501="Reorder Required")=(N501="Reorder Required")),"OK","Mismatch")</f>
        <v/>
      </c>
      <c r="W501" s="99" t="n"/>
    </row>
  </sheetData>
  <conditionalFormatting sqref="P2:P501">
    <cfRule type="expression" priority="1" dxfId="0">
      <formula>P2&lt;0</formula>
    </cfRule>
  </conditionalFormatting>
  <conditionalFormatting sqref="U2:U501">
    <cfRule type="expression" priority="2" dxfId="1">
      <formula>U2="Reorder Required"</formula>
    </cfRule>
  </conditionalFormatting>
  <conditionalFormatting sqref="T2:T501">
    <cfRule type="expression" priority="3" dxfId="0">
      <formula>T2&gt;1</formula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3.xml><?xml version="1.0" encoding="utf-8"?>
<worksheet xmlns="http://schemas.openxmlformats.org/spreadsheetml/2006/main">
  <sheetPr>
    <tabColor rgb="00C8963E"/>
    <outlinePr summaryBelow="1" summaryRight="1"/>
    <pageSetUpPr/>
  </sheetPr>
  <dimension ref="B1:G2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5" customWidth="1" min="2" max="2"/>
    <col width="46" customWidth="1" min="3" max="3"/>
    <col width="24" customWidth="1" min="4" max="4"/>
    <col width="12" customWidth="1" min="5" max="5"/>
    <col width="14" customWidth="1" min="6" max="6"/>
    <col width="78" customWidth="1" min="7" max="7"/>
  </cols>
  <sheetData>
    <row r="1" ht="34" customHeight="1">
      <c r="B1" s="1" t="inlineStr">
        <is>
          <t>🧹 Data Cleaning Report</t>
        </is>
      </c>
      <c r="C1" s="2" t="n"/>
      <c r="D1" s="2" t="n"/>
      <c r="E1" s="2" t="n"/>
      <c r="F1" s="2" t="n"/>
      <c r="G1" s="2" t="n"/>
    </row>
    <row r="2">
      <c r="B2" s="3" t="inlineStr">
        <is>
          <t>Checks run on the raw Inventory sheet (500 rows). Results are live formulas.</t>
        </is>
      </c>
    </row>
    <row r="4">
      <c r="B4" s="88" t="inlineStr">
        <is>
          <t>#</t>
        </is>
      </c>
      <c r="C4" s="88" t="inlineStr">
        <is>
          <t>Check</t>
        </is>
      </c>
      <c r="D4" s="88" t="inlineStr">
        <is>
          <t>Columns</t>
        </is>
      </c>
      <c r="E4" s="88" t="inlineStr">
        <is>
          <t>Result</t>
        </is>
      </c>
      <c r="F4" s="88" t="inlineStr">
        <is>
          <t>Status</t>
        </is>
      </c>
      <c r="G4" s="88" t="inlineStr">
        <is>
          <t>Finding / treatment</t>
        </is>
      </c>
    </row>
    <row r="5" ht="30" customHeight="1">
      <c r="B5" s="103" t="n">
        <v>1</v>
      </c>
      <c r="C5" s="104" t="inlineStr">
        <is>
          <t>Total records</t>
        </is>
      </c>
      <c r="D5" s="105" t="inlineStr">
        <is>
          <t>All</t>
        </is>
      </c>
      <c r="E5" s="106">
        <f>COUNTA(Inventory!$A$2:$A$501)</f>
        <v/>
      </c>
      <c r="F5" s="104" t="inlineStr">
        <is>
          <t>INFO</t>
        </is>
      </c>
      <c r="G5" s="105" t="inlineStr">
        <is>
          <t>500 outlet–product inventory lines (10 outlets × 50 products).</t>
        </is>
      </c>
    </row>
    <row r="6" ht="30" customHeight="1">
      <c r="B6" s="103" t="n">
        <v>2</v>
      </c>
      <c r="C6" s="104" t="inlineStr">
        <is>
          <t>Duplicate rows (repeated Inventory_ID)</t>
        </is>
      </c>
      <c r="D6" s="105" t="inlineStr">
        <is>
          <t>Inventory_ID</t>
        </is>
      </c>
      <c r="E6" s="106">
        <f>SUMPRODUCT((COUNTIF(Inventory!$A$2:$A$501,Inventory!$A$2:$A$501)&gt;1)*1)</f>
        <v/>
      </c>
      <c r="F6" s="104">
        <f>IF(E6=0,"PASS","REVIEW")</f>
        <v/>
      </c>
      <c r="G6" s="105" t="inlineStr">
        <is>
          <t>No duplicates found – nothing removed.</t>
        </is>
      </c>
    </row>
    <row r="7" ht="30" customHeight="1">
      <c r="B7" s="103" t="n">
        <v>3</v>
      </c>
      <c r="C7" s="104" t="inlineStr">
        <is>
          <t>Duplicate Outlet_ID + Product_ID pairs</t>
        </is>
      </c>
      <c r="D7" s="105" t="inlineStr">
        <is>
          <t>Outlet_ID, Product_ID</t>
        </is>
      </c>
      <c r="E7" s="106">
        <f>SUMPRODUCT((COUNTIFS(Inventory!$B$2:$B$501,Inventory!$B$2:$B$501,Inventory!$C$2:$C$501,Inventory!$C$2:$C$501)&gt;1)*1)</f>
        <v/>
      </c>
      <c r="F7" s="104">
        <f>IF(E7=0,"PASS","REVIEW")</f>
        <v/>
      </c>
      <c r="G7" s="105" t="inlineStr">
        <is>
          <t>Every outlet–product pair appears exactly once.</t>
        </is>
      </c>
    </row>
    <row r="8" ht="30" customHeight="1">
      <c r="B8" s="103" t="n">
        <v>4</v>
      </c>
      <c r="C8" s="104" t="inlineStr">
        <is>
          <t>Blank cells in core columns</t>
        </is>
      </c>
      <c r="D8" s="105" t="inlineStr">
        <is>
          <t>A:K</t>
        </is>
      </c>
      <c r="E8" s="106">
        <f>COUNTBLANK(Inventory!$A$2:$K$501)</f>
        <v/>
      </c>
      <c r="F8" s="104">
        <f>IF(E8=0,"PASS","REVIEW")</f>
        <v/>
      </c>
      <c r="G8" s="105" t="inlineStr">
        <is>
          <t>No blanks in IDs, stock, wastage, reorder level, status or lead time.</t>
        </is>
      </c>
    </row>
    <row r="9" ht="44" customHeight="1">
      <c r="B9" s="103" t="n">
        <v>5</v>
      </c>
      <c r="C9" s="104" t="inlineStr">
        <is>
          <t>Blank Remarks</t>
        </is>
      </c>
      <c r="D9" s="105" t="inlineStr">
        <is>
          <t>Remarks</t>
        </is>
      </c>
      <c r="E9" s="106">
        <f>COUNTBLANK(Inventory!$L$2:$L$501)</f>
        <v/>
      </c>
      <c r="F9" s="104">
        <f>IF(E9=COUNTIF(Inventory!$J$2:$J$501,"Healthy"),"PASS (expected)","REVIEW")</f>
        <v/>
      </c>
      <c r="G9" s="105" t="inlineStr">
        <is>
          <t>Blank only where Inventory_Status = Healthy (remark exists only for "Restock immediately") – expected, left blank.</t>
        </is>
      </c>
    </row>
    <row r="10" ht="30" customHeight="1">
      <c r="B10" s="103" t="n">
        <v>6</v>
      </c>
      <c r="C10" s="104" t="inlineStr">
        <is>
          <t>Non-numeric entries in numeric columns</t>
        </is>
      </c>
      <c r="D10" s="105" t="inlineStr">
        <is>
          <t>D:I, K</t>
        </is>
      </c>
      <c r="E10" s="106">
        <f>ROWS(Inventory!$D$2:$D$501)*6-COUNT(Inventory!$D$2:$I$501)+ROWS(Inventory!$K$2:$K$501)-COUNT(Inventory!$K$2:$K$501)</f>
        <v/>
      </c>
      <c r="F10" s="104">
        <f>IF(E10=0,"PASS","REVIEW")</f>
        <v/>
      </c>
      <c r="G10" s="105" t="inlineStr">
        <is>
          <t>All stock, wastage, reorder-level and lead-time fields are true numbers (no text-numbers).</t>
        </is>
      </c>
    </row>
    <row r="11" ht="30" customHeight="1">
      <c r="B11" s="103" t="n">
        <v>7</v>
      </c>
      <c r="C11" s="104" t="inlineStr">
        <is>
          <t>Non-whole stock quantities</t>
        </is>
      </c>
      <c r="D11" s="105" t="inlineStr">
        <is>
          <t>D:I, K</t>
        </is>
      </c>
      <c r="E11" s="106">
        <f>SUMPRODUCT((Inventory!$D$2:$I$501&lt;&gt;INT(Inventory!$D$2:$I$501))*1)</f>
        <v/>
      </c>
      <c r="F11" s="104">
        <f>IF(E11=0,"PASS","REVIEW")</f>
        <v/>
      </c>
      <c r="G11" s="105" t="inlineStr">
        <is>
          <t>All quantities are whole units.</t>
        </is>
      </c>
    </row>
    <row r="12" ht="30" customHeight="1">
      <c r="B12" s="103" t="n">
        <v>8</v>
      </c>
      <c r="C12" s="104" t="inlineStr">
        <is>
          <t>Negative values</t>
        </is>
      </c>
      <c r="D12" s="105" t="inlineStr">
        <is>
          <t>D:I, K</t>
        </is>
      </c>
      <c r="E12" s="106">
        <f>COUNTIF(Inventory!$D$2:$I$501,"&lt;0")+COUNTIF(Inventory!$K$2:$K$501,"&lt;0")</f>
        <v/>
      </c>
      <c r="F12" s="104">
        <f>IF(E12=0,"PASS","REVIEW")</f>
        <v/>
      </c>
      <c r="G12" s="105" t="inlineStr">
        <is>
          <t>No negative inputs.</t>
        </is>
      </c>
    </row>
    <row r="13" ht="30" customHeight="1">
      <c r="B13" s="103" t="n">
        <v>9</v>
      </c>
      <c r="C13" s="104" t="inlineStr">
        <is>
          <t>Invalid lead time (≤ 0 days)</t>
        </is>
      </c>
      <c r="D13" s="105" t="inlineStr">
        <is>
          <t>Supplier_Lead_Time_Days</t>
        </is>
      </c>
      <c r="E13" s="106">
        <f>COUNTIF(Inventory!$K$2:$K$501,"&lt;=0")</f>
        <v/>
      </c>
      <c r="F13" s="104">
        <f>IF(E13=0,"PASS","REVIEW")</f>
        <v/>
      </c>
      <c r="G13" s="105" t="inlineStr">
        <is>
          <t>Lead times range 1–5 days.</t>
        </is>
      </c>
    </row>
    <row r="14" ht="30" customHeight="1">
      <c r="B14" s="103" t="n">
        <v>10</v>
      </c>
      <c r="C14" s="104" t="inlineStr">
        <is>
          <t>Wastage greater than available stock</t>
        </is>
      </c>
      <c r="D14" s="105" t="inlineStr">
        <is>
          <t>Wastage</t>
        </is>
      </c>
      <c r="E14" s="106">
        <f>SUMPRODUCT((Inventory!$H$2:$H$501&gt;Inventory!$D$2:$D$501+Inventory!$E$2:$E$501)*1)</f>
        <v/>
      </c>
      <c r="F14" s="104">
        <f>IF(E14=0,"PASS","REVIEW")</f>
        <v/>
      </c>
      <c r="G14" s="105" t="inlineStr">
        <is>
          <t>Wastage is always small (max 8 units).</t>
        </is>
      </c>
    </row>
    <row r="15" ht="44" customHeight="1">
      <c r="B15" s="103" t="n">
        <v>11</v>
      </c>
      <c r="C15" s="104" t="inlineStr">
        <is>
          <t>Units sold greater than stock available (Opening + Received)</t>
        </is>
      </c>
      <c r="D15" s="105" t="inlineStr">
        <is>
          <t>Units_Sold</t>
        </is>
      </c>
      <c r="E15" s="106">
        <f>SUMPRODUCT((Inventory!$F$2:$F$501&gt;Inventory!$D$2:$D$501+Inventory!$E$2:$E$501)*1)</f>
        <v/>
      </c>
      <c r="F15" s="104">
        <f>IF(E15=0,"PASS","REVIEW")</f>
        <v/>
      </c>
      <c r="G15" s="105" t="inlineStr">
        <is>
          <t>Sold more than was available → utilization above 100%. Kept as reported and flagged (Inventory_Clean: Stock_Utilization_% &gt; 100% shown red). Likely unrecorded receipts – confirm with the outlets.</t>
        </is>
      </c>
    </row>
    <row r="16" ht="44" customHeight="1">
      <c r="B16" s="103" t="n">
        <v>12</v>
      </c>
      <c r="C16" s="104" t="inlineStr">
        <is>
          <t>Calculated Closing Stock below zero</t>
        </is>
      </c>
      <c r="D16" s="105" t="inlineStr">
        <is>
          <t>Closing_Stock</t>
        </is>
      </c>
      <c r="E16" s="106">
        <f>COUNTIF(Inventory_Clean!$P$2:$P$501,"&lt;0")</f>
        <v/>
      </c>
      <c r="F16" s="104">
        <f>IF(E16=0,"PASS","REVIEW")</f>
        <v/>
      </c>
      <c r="G16" s="105" t="inlineStr">
        <is>
          <t>Formula Opening + Received − Sold − Wastage gives negative stock. The source file floors these at 0. Closing_Stock keeps the formula result; Closing_Stock_Adj (floored at 0) feeds totals; Stock_Shortfall shows the missing units.</t>
        </is>
      </c>
    </row>
    <row r="17" ht="44" customHeight="1">
      <c r="B17" s="103" t="n">
        <v>13</v>
      </c>
      <c r="C17" s="104" t="inlineStr">
        <is>
          <t>Source Closing_Stock / status vs recalculated</t>
        </is>
      </c>
      <c r="D17" s="105" t="inlineStr">
        <is>
          <t>Closing_Stock, Inventory_Status</t>
        </is>
      </c>
      <c r="E17" s="106">
        <f>COUNTIF(Inventory_Clean!$V$2:$V$501,"Mismatch")</f>
        <v/>
      </c>
      <c r="F17" s="104">
        <f>IF(E17=0,"PASS","REVIEW")</f>
        <v/>
      </c>
      <c r="G17" s="105" t="inlineStr">
        <is>
          <t>Recalculated values match the source file on every row (source status "Healthy" = Stock Sufficient).</t>
        </is>
      </c>
    </row>
    <row r="18" ht="30" customHeight="1">
      <c r="B18" s="103" t="n">
        <v>14</v>
      </c>
      <c r="C18" s="104" t="inlineStr">
        <is>
          <t>Outlet_ID format / extra spaces</t>
        </is>
      </c>
      <c r="D18" s="105" t="inlineStr">
        <is>
          <t>Outlet_ID</t>
        </is>
      </c>
      <c r="E18" s="106">
        <f>SUMPRODUCT((LEN(Inventory!$B$2:$B$501)&lt;&gt;6)*1)+SUMPRODUCT((LEN(Inventory!$B$2:$B$501)&lt;&gt;LEN(TRIM(Inventory!$B$2:$B$501)))*1)</f>
        <v/>
      </c>
      <c r="F18" s="104">
        <f>IF(E18=0,"PASS","REVIEW")</f>
        <v/>
      </c>
      <c r="G18" s="105" t="inlineStr">
        <is>
          <t>All Outlet_IDs follow OUT### with no stray spaces.</t>
        </is>
      </c>
    </row>
    <row r="19" ht="30" customHeight="1">
      <c r="B19" s="103" t="n">
        <v>15</v>
      </c>
      <c r="C19" s="104" t="inlineStr">
        <is>
          <t>Product_ID format / extra spaces</t>
        </is>
      </c>
      <c r="D19" s="105" t="inlineStr">
        <is>
          <t>Product_ID</t>
        </is>
      </c>
      <c r="E19" s="106">
        <f>SUMPRODUCT((LEN(Inventory!$C$2:$C$501)&lt;&gt;5)*1)+SUMPRODUCT((LEN(Inventory!$C$2:$C$501)&lt;&gt;LEN(TRIM(Inventory!$C$2:$C$501)))*1)</f>
        <v/>
      </c>
      <c r="F19" s="104">
        <f>IF(E19=0,"PASS","REVIEW")</f>
        <v/>
      </c>
      <c r="G19" s="105" t="inlineStr">
        <is>
          <t>All Product_IDs follow BP### with no stray spaces.</t>
        </is>
      </c>
    </row>
    <row r="20" ht="30" customHeight="1">
      <c r="B20" s="103" t="n">
        <v>16</v>
      </c>
      <c r="C20" s="104" t="inlineStr">
        <is>
          <t>Outlet_IDs not in master list</t>
        </is>
      </c>
      <c r="D20" s="105" t="inlineStr">
        <is>
          <t>Outlet_ID</t>
        </is>
      </c>
      <c r="E20" s="106">
        <f>SUMPRODUCT((COUNTIF(Lookup!$A$2:$A$11,Inventory!$B$2:$B$501)=0)*1)</f>
        <v/>
      </c>
      <c r="F20" s="104">
        <f>IF(E20=0,"PASS","REVIEW")</f>
        <v/>
      </c>
      <c r="G20" s="105" t="inlineStr">
        <is>
          <t>All 10 Outlet_IDs exist in the sales data (same IDs, same outlet names).</t>
        </is>
      </c>
    </row>
    <row r="21" ht="30" customHeight="1">
      <c r="B21" s="103" t="n">
        <v>17</v>
      </c>
      <c r="C21" s="104" t="inlineStr">
        <is>
          <t>Product_IDs not in master list</t>
        </is>
      </c>
      <c r="D21" s="105" t="inlineStr">
        <is>
          <t>Product_ID</t>
        </is>
      </c>
      <c r="E21" s="106">
        <f>SUMPRODUCT((COUNTIF(Lookup!$D$2:$D$51,Inventory!$C$2:$C$501)=0)*1)</f>
        <v/>
      </c>
      <c r="F21" s="104">
        <f>IF(E21=0,"PASS","REVIEW")</f>
        <v/>
      </c>
      <c r="G21" s="105" t="inlineStr">
        <is>
          <t>All 50 Product_IDs exist in the sales data (same IDs).</t>
        </is>
      </c>
    </row>
    <row r="22" ht="30" customHeight="1">
      <c r="B22" s="103" t="n">
        <v>18</v>
      </c>
      <c r="C22" s="104" t="inlineStr">
        <is>
          <t>Outlets without all 50 products</t>
        </is>
      </c>
      <c r="D22" s="105" t="inlineStr">
        <is>
          <t>Outlet_ID</t>
        </is>
      </c>
      <c r="E22" s="106">
        <f>SUMPRODUCT((COUNTIF(Inventory!$B$2:$B$501,Lookup!$A$2:$A$11)&lt;&gt;COUNTA(Lookup!$D$2:$D$51))*1)</f>
        <v/>
      </c>
      <c r="F22" s="104">
        <f>IF(E22=0,"PASS","REVIEW")</f>
        <v/>
      </c>
      <c r="G22" s="105" t="inlineStr">
        <is>
          <t>Each outlet stocks every product exactly once.</t>
        </is>
      </c>
    </row>
    <row r="23" ht="44" customHeight="1">
      <c r="B23" s="103" t="n">
        <v>19</v>
      </c>
      <c r="C23" s="104" t="inlineStr">
        <is>
          <t>Date fields</t>
        </is>
      </c>
      <c r="D23" s="105" t="inlineStr">
        <is>
          <t>—</t>
        </is>
      </c>
      <c r="E23" s="106" t="inlineStr">
        <is>
          <t>n/a</t>
        </is>
      </c>
      <c r="F23" s="104" t="inlineStr">
        <is>
          <t>INFO</t>
        </is>
      </c>
      <c r="G23" s="105" t="inlineStr">
        <is>
          <t>The inventory sheet has no date column, so there is nothing to convert. A date field is needed for a true date-wise / monthly trend.</t>
        </is>
      </c>
    </row>
    <row r="24" ht="44" customHeight="1">
      <c r="B24" s="103" t="n">
        <v>20</v>
      </c>
      <c r="C24" s="104" t="inlineStr">
        <is>
          <t>Supplier field</t>
        </is>
      </c>
      <c r="D24" s="105" t="inlineStr">
        <is>
          <t>—</t>
        </is>
      </c>
      <c r="E24" s="106" t="inlineStr">
        <is>
          <t>n/a</t>
        </is>
      </c>
      <c r="F24" s="104" t="inlineStr">
        <is>
          <t>INFO</t>
        </is>
      </c>
      <c r="G24" s="105" t="inlineStr">
        <is>
          <t>The inventory sheet has Supplier_Lead_Time_Days but no supplier name, so lead time is analysed by outlet and category instead.</t>
        </is>
      </c>
    </row>
    <row r="25" ht="44" customHeight="1">
      <c r="B25" s="103" t="n">
        <v>21</v>
      </c>
      <c r="C25" s="104" t="inlineStr">
        <is>
          <t>Number formatting</t>
        </is>
      </c>
      <c r="D25" s="105" t="inlineStr">
        <is>
          <t>All numeric columns</t>
        </is>
      </c>
      <c r="E25" s="106" t="inlineStr">
        <is>
          <t>Done</t>
        </is>
      </c>
      <c r="F25" s="104" t="inlineStr">
        <is>
          <t>INFO</t>
        </is>
      </c>
      <c r="G25" s="105" t="inlineStr">
        <is>
          <t>Whole numbers with thousands separators, percentages 0.0%, negatives red, headers styled, panes frozen, data converted to an Excel Table (InventoryTable).</t>
        </is>
      </c>
    </row>
  </sheetData>
  <mergeCells count="2">
    <mergeCell ref="B2:G2"/>
    <mergeCell ref="B1:G1"/>
  </mergeCells>
  <conditionalFormatting sqref="F5:F25">
    <cfRule type="expression" priority="1" dxfId="2">
      <formula>LEFT(F5,4)="PASS"</formula>
    </cfRule>
    <cfRule type="expression" priority="2" dxfId="3">
      <formula>LEFT(F5,6)="REVIEW"</formula>
    </cfRule>
    <cfRule type="expression" priority="3" dxfId="4">
      <formula>LEFT(F5,4)="INFO"</formula>
    </cfRule>
  </conditionalFormatting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tabColor rgb="009E9E9E"/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107" t="inlineStr">
        <is>
          <t>Outlet_ID</t>
        </is>
      </c>
      <c r="B1" s="107" t="inlineStr">
        <is>
          <t>Outlet_Name</t>
        </is>
      </c>
      <c r="C1" s="107" t="inlineStr">
        <is>
          <t>City</t>
        </is>
      </c>
      <c r="D1" s="107" t="inlineStr">
        <is>
          <t>Product_ID</t>
        </is>
      </c>
      <c r="E1" s="107" t="inlineStr">
        <is>
          <t>Product_Name</t>
        </is>
      </c>
      <c r="F1" s="107" t="inlineStr">
        <is>
          <t>Category</t>
        </is>
      </c>
      <c r="H1" s="3" t="inlineStr">
        <is>
          <t>Master lists taken from the Sales_Transactions sheet of the BrewBean workbook (10 outlets, 50 products); used to validate IDs and add names.</t>
        </is>
      </c>
    </row>
    <row r="2">
      <c r="A2" t="inlineStr">
        <is>
          <t>OUT001</t>
        </is>
      </c>
      <c r="B2" t="inlineStr">
        <is>
          <t>BrewBean RS Puram</t>
        </is>
      </c>
      <c r="C2" t="inlineStr">
        <is>
          <t>Coimbatore</t>
        </is>
      </c>
      <c r="D2" t="inlineStr">
        <is>
          <t>BP001</t>
        </is>
      </c>
      <c r="E2" t="inlineStr">
        <is>
          <t>Product 1</t>
        </is>
      </c>
      <c r="F2" t="inlineStr">
        <is>
          <t>Coffee</t>
        </is>
      </c>
    </row>
    <row r="3">
      <c r="A3" t="inlineStr">
        <is>
          <t>OUT002</t>
        </is>
      </c>
      <c r="B3" t="inlineStr">
        <is>
          <t>BrewBean Peelamedu</t>
        </is>
      </c>
      <c r="C3" t="inlineStr">
        <is>
          <t>Coimbatore</t>
        </is>
      </c>
      <c r="D3" t="inlineStr">
        <is>
          <t>BP002</t>
        </is>
      </c>
      <c r="E3" t="inlineStr">
        <is>
          <t>Product 2</t>
        </is>
      </c>
      <c r="F3" t="inlineStr">
        <is>
          <t>Cold Coffee</t>
        </is>
      </c>
    </row>
    <row r="4">
      <c r="A4" t="inlineStr">
        <is>
          <t>OUT003</t>
        </is>
      </c>
      <c r="B4" t="inlineStr">
        <is>
          <t>BrewBean Gandhipuram</t>
        </is>
      </c>
      <c r="C4" t="inlineStr">
        <is>
          <t>Coimbatore</t>
        </is>
      </c>
      <c r="D4" t="inlineStr">
        <is>
          <t>BP003</t>
        </is>
      </c>
      <c r="E4" t="inlineStr">
        <is>
          <t>Product 3</t>
        </is>
      </c>
      <c r="F4" t="inlineStr">
        <is>
          <t>Frappes</t>
        </is>
      </c>
    </row>
    <row r="5">
      <c r="A5" t="inlineStr">
        <is>
          <t>OUT004</t>
        </is>
      </c>
      <c r="B5" t="inlineStr">
        <is>
          <t>BrewBean Saravanampatti</t>
        </is>
      </c>
      <c r="C5" t="inlineStr">
        <is>
          <t>Coimbatore</t>
        </is>
      </c>
      <c r="D5" t="inlineStr">
        <is>
          <t>BP004</t>
        </is>
      </c>
      <c r="E5" t="inlineStr">
        <is>
          <t>Product 4</t>
        </is>
      </c>
      <c r="F5" t="inlineStr">
        <is>
          <t>Tea</t>
        </is>
      </c>
    </row>
    <row r="6">
      <c r="A6" t="inlineStr">
        <is>
          <t>OUT005</t>
        </is>
      </c>
      <c r="B6" t="inlineStr">
        <is>
          <t>BrewBean Saibaba Colony</t>
        </is>
      </c>
      <c r="C6" t="inlineStr">
        <is>
          <t>Coimbatore</t>
        </is>
      </c>
      <c r="D6" t="inlineStr">
        <is>
          <t>BP005</t>
        </is>
      </c>
      <c r="E6" t="inlineStr">
        <is>
          <t>Product 5</t>
        </is>
      </c>
      <c r="F6" t="inlineStr">
        <is>
          <t>Fresh Juice</t>
        </is>
      </c>
    </row>
    <row r="7">
      <c r="A7" t="inlineStr">
        <is>
          <t>OUT006</t>
        </is>
      </c>
      <c r="B7" t="inlineStr">
        <is>
          <t>BrewBean Tiruppur</t>
        </is>
      </c>
      <c r="C7" t="inlineStr">
        <is>
          <t>Tiruppur</t>
        </is>
      </c>
      <c r="D7" t="inlineStr">
        <is>
          <t>BP006</t>
        </is>
      </c>
      <c r="E7" t="inlineStr">
        <is>
          <t>Product 6</t>
        </is>
      </c>
      <c r="F7" t="inlineStr">
        <is>
          <t>Smoothie</t>
        </is>
      </c>
    </row>
    <row r="8">
      <c r="A8" t="inlineStr">
        <is>
          <t>OUT007</t>
        </is>
      </c>
      <c r="B8" t="inlineStr">
        <is>
          <t>BrewBean Pollachi</t>
        </is>
      </c>
      <c r="C8" t="inlineStr">
        <is>
          <t>Pollachi</t>
        </is>
      </c>
      <c r="D8" t="inlineStr">
        <is>
          <t>BP007</t>
        </is>
      </c>
      <c r="E8" t="inlineStr">
        <is>
          <t>Product 7</t>
        </is>
      </c>
      <c r="F8" t="inlineStr">
        <is>
          <t>Sandwich</t>
        </is>
      </c>
    </row>
    <row r="9">
      <c r="A9" t="inlineStr">
        <is>
          <t>OUT008</t>
        </is>
      </c>
      <c r="B9" t="inlineStr">
        <is>
          <t>BrewBean Salem</t>
        </is>
      </c>
      <c r="C9" t="inlineStr">
        <is>
          <t>Salem</t>
        </is>
      </c>
      <c r="D9" t="inlineStr">
        <is>
          <t>BP008</t>
        </is>
      </c>
      <c r="E9" t="inlineStr">
        <is>
          <t>Product 8</t>
        </is>
      </c>
      <c r="F9" t="inlineStr">
        <is>
          <t>Burger</t>
        </is>
      </c>
    </row>
    <row r="10">
      <c r="A10" t="inlineStr">
        <is>
          <t>OUT009</t>
        </is>
      </c>
      <c r="B10" t="inlineStr">
        <is>
          <t>BrewBean Madurai</t>
        </is>
      </c>
      <c r="C10" t="inlineStr">
        <is>
          <t>Madurai</t>
        </is>
      </c>
      <c r="D10" t="inlineStr">
        <is>
          <t>BP009</t>
        </is>
      </c>
      <c r="E10" t="inlineStr">
        <is>
          <t>Product 9</t>
        </is>
      </c>
      <c r="F10" t="inlineStr">
        <is>
          <t>Wrap</t>
        </is>
      </c>
    </row>
    <row r="11">
      <c r="A11" t="inlineStr">
        <is>
          <t>OUT010</t>
        </is>
      </c>
      <c r="B11" t="inlineStr">
        <is>
          <t>BrewBean Trichy</t>
        </is>
      </c>
      <c r="C11" t="inlineStr">
        <is>
          <t>Tiruchirappalli</t>
        </is>
      </c>
      <c r="D11" t="inlineStr">
        <is>
          <t>BP010</t>
        </is>
      </c>
      <c r="E11" t="inlineStr">
        <is>
          <t>Product 10</t>
        </is>
      </c>
      <c r="F11" t="inlineStr">
        <is>
          <t>Sides</t>
        </is>
      </c>
    </row>
    <row r="12">
      <c r="D12" t="inlineStr">
        <is>
          <t>BP011</t>
        </is>
      </c>
      <c r="E12" t="inlineStr">
        <is>
          <t>Product 11</t>
        </is>
      </c>
      <c r="F12" t="inlineStr">
        <is>
          <t>Pastry</t>
        </is>
      </c>
    </row>
    <row r="13">
      <c r="D13" t="inlineStr">
        <is>
          <t>BP012</t>
        </is>
      </c>
      <c r="E13" t="inlineStr">
        <is>
          <t>Product 12</t>
        </is>
      </c>
      <c r="F13" t="inlineStr">
        <is>
          <t>Cake</t>
        </is>
      </c>
    </row>
    <row r="14">
      <c r="D14" t="inlineStr">
        <is>
          <t>BP013</t>
        </is>
      </c>
      <c r="E14" t="inlineStr">
        <is>
          <t>Product 13</t>
        </is>
      </c>
      <c r="F14" t="inlineStr">
        <is>
          <t>Cookies</t>
        </is>
      </c>
    </row>
    <row r="15">
      <c r="D15" t="inlineStr">
        <is>
          <t>BP014</t>
        </is>
      </c>
      <c r="E15" t="inlineStr">
        <is>
          <t>Product 14</t>
        </is>
      </c>
      <c r="F15" t="inlineStr">
        <is>
          <t>Dessert</t>
        </is>
      </c>
    </row>
    <row r="16">
      <c r="D16" t="inlineStr">
        <is>
          <t>BP015</t>
        </is>
      </c>
      <c r="E16" t="inlineStr">
        <is>
          <t>Product 15</t>
        </is>
      </c>
      <c r="F16" t="inlineStr">
        <is>
          <t>Beverage</t>
        </is>
      </c>
    </row>
    <row r="17">
      <c r="D17" t="inlineStr">
        <is>
          <t>BP016</t>
        </is>
      </c>
      <c r="E17" t="inlineStr">
        <is>
          <t>Product 16</t>
        </is>
      </c>
      <c r="F17" t="inlineStr">
        <is>
          <t>Coffee</t>
        </is>
      </c>
    </row>
    <row r="18">
      <c r="D18" t="inlineStr">
        <is>
          <t>BP017</t>
        </is>
      </c>
      <c r="E18" t="inlineStr">
        <is>
          <t>Product 17</t>
        </is>
      </c>
      <c r="F18" t="inlineStr">
        <is>
          <t>Cold Coffee</t>
        </is>
      </c>
    </row>
    <row r="19">
      <c r="D19" t="inlineStr">
        <is>
          <t>BP018</t>
        </is>
      </c>
      <c r="E19" t="inlineStr">
        <is>
          <t>Product 18</t>
        </is>
      </c>
      <c r="F19" t="inlineStr">
        <is>
          <t>Frappes</t>
        </is>
      </c>
    </row>
    <row r="20">
      <c r="D20" t="inlineStr">
        <is>
          <t>BP019</t>
        </is>
      </c>
      <c r="E20" t="inlineStr">
        <is>
          <t>Product 19</t>
        </is>
      </c>
      <c r="F20" t="inlineStr">
        <is>
          <t>Tea</t>
        </is>
      </c>
    </row>
    <row r="21">
      <c r="D21" t="inlineStr">
        <is>
          <t>BP020</t>
        </is>
      </c>
      <c r="E21" t="inlineStr">
        <is>
          <t>Product 20</t>
        </is>
      </c>
      <c r="F21" t="inlineStr">
        <is>
          <t>Fresh Juice</t>
        </is>
      </c>
    </row>
    <row r="22">
      <c r="D22" t="inlineStr">
        <is>
          <t>BP021</t>
        </is>
      </c>
      <c r="E22" t="inlineStr">
        <is>
          <t>Product 21</t>
        </is>
      </c>
      <c r="F22" t="inlineStr">
        <is>
          <t>Smoothie</t>
        </is>
      </c>
    </row>
    <row r="23">
      <c r="D23" t="inlineStr">
        <is>
          <t>BP022</t>
        </is>
      </c>
      <c r="E23" t="inlineStr">
        <is>
          <t>Product 22</t>
        </is>
      </c>
      <c r="F23" t="inlineStr">
        <is>
          <t>Sandwich</t>
        </is>
      </c>
    </row>
    <row r="24">
      <c r="D24" t="inlineStr">
        <is>
          <t>BP023</t>
        </is>
      </c>
      <c r="E24" t="inlineStr">
        <is>
          <t>Product 23</t>
        </is>
      </c>
      <c r="F24" t="inlineStr">
        <is>
          <t>Burger</t>
        </is>
      </c>
    </row>
    <row r="25">
      <c r="D25" t="inlineStr">
        <is>
          <t>BP024</t>
        </is>
      </c>
      <c r="E25" t="inlineStr">
        <is>
          <t>Product 24</t>
        </is>
      </c>
      <c r="F25" t="inlineStr">
        <is>
          <t>Wrap</t>
        </is>
      </c>
    </row>
    <row r="26">
      <c r="D26" t="inlineStr">
        <is>
          <t>BP025</t>
        </is>
      </c>
      <c r="E26" t="inlineStr">
        <is>
          <t>Product 25</t>
        </is>
      </c>
      <c r="F26" t="inlineStr">
        <is>
          <t>Sides</t>
        </is>
      </c>
    </row>
    <row r="27">
      <c r="D27" t="inlineStr">
        <is>
          <t>BP026</t>
        </is>
      </c>
      <c r="E27" t="inlineStr">
        <is>
          <t>Product 26</t>
        </is>
      </c>
      <c r="F27" t="inlineStr">
        <is>
          <t>Pastry</t>
        </is>
      </c>
    </row>
    <row r="28">
      <c r="D28" t="inlineStr">
        <is>
          <t>BP027</t>
        </is>
      </c>
      <c r="E28" t="inlineStr">
        <is>
          <t>Product 27</t>
        </is>
      </c>
      <c r="F28" t="inlineStr">
        <is>
          <t>Cake</t>
        </is>
      </c>
    </row>
    <row r="29">
      <c r="D29" t="inlineStr">
        <is>
          <t>BP028</t>
        </is>
      </c>
      <c r="E29" t="inlineStr">
        <is>
          <t>Product 28</t>
        </is>
      </c>
      <c r="F29" t="inlineStr">
        <is>
          <t>Cookies</t>
        </is>
      </c>
    </row>
    <row r="30">
      <c r="D30" t="inlineStr">
        <is>
          <t>BP029</t>
        </is>
      </c>
      <c r="E30" t="inlineStr">
        <is>
          <t>Product 29</t>
        </is>
      </c>
      <c r="F30" t="inlineStr">
        <is>
          <t>Dessert</t>
        </is>
      </c>
    </row>
    <row r="31">
      <c r="D31" t="inlineStr">
        <is>
          <t>BP030</t>
        </is>
      </c>
      <c r="E31" t="inlineStr">
        <is>
          <t>Product 30</t>
        </is>
      </c>
      <c r="F31" t="inlineStr">
        <is>
          <t>Beverage</t>
        </is>
      </c>
    </row>
    <row r="32">
      <c r="D32" t="inlineStr">
        <is>
          <t>BP031</t>
        </is>
      </c>
      <c r="E32" t="inlineStr">
        <is>
          <t>Product 31</t>
        </is>
      </c>
      <c r="F32" t="inlineStr">
        <is>
          <t>Coffee</t>
        </is>
      </c>
    </row>
    <row r="33">
      <c r="D33" t="inlineStr">
        <is>
          <t>BP032</t>
        </is>
      </c>
      <c r="E33" t="inlineStr">
        <is>
          <t>Product 32</t>
        </is>
      </c>
      <c r="F33" t="inlineStr">
        <is>
          <t>Cold Coffee</t>
        </is>
      </c>
    </row>
    <row r="34">
      <c r="D34" t="inlineStr">
        <is>
          <t>BP033</t>
        </is>
      </c>
      <c r="E34" t="inlineStr">
        <is>
          <t>Product 33</t>
        </is>
      </c>
      <c r="F34" t="inlineStr">
        <is>
          <t>Frappes</t>
        </is>
      </c>
    </row>
    <row r="35">
      <c r="D35" t="inlineStr">
        <is>
          <t>BP034</t>
        </is>
      </c>
      <c r="E35" t="inlineStr">
        <is>
          <t>Product 34</t>
        </is>
      </c>
      <c r="F35" t="inlineStr">
        <is>
          <t>Tea</t>
        </is>
      </c>
    </row>
    <row r="36">
      <c r="D36" t="inlineStr">
        <is>
          <t>BP035</t>
        </is>
      </c>
      <c r="E36" t="inlineStr">
        <is>
          <t>Product 35</t>
        </is>
      </c>
      <c r="F36" t="inlineStr">
        <is>
          <t>Fresh Juice</t>
        </is>
      </c>
    </row>
    <row r="37">
      <c r="D37" t="inlineStr">
        <is>
          <t>BP036</t>
        </is>
      </c>
      <c r="E37" t="inlineStr">
        <is>
          <t>Product 36</t>
        </is>
      </c>
      <c r="F37" t="inlineStr">
        <is>
          <t>Smoothie</t>
        </is>
      </c>
    </row>
    <row r="38">
      <c r="D38" t="inlineStr">
        <is>
          <t>BP037</t>
        </is>
      </c>
      <c r="E38" t="inlineStr">
        <is>
          <t>Product 37</t>
        </is>
      </c>
      <c r="F38" t="inlineStr">
        <is>
          <t>Sandwich</t>
        </is>
      </c>
    </row>
    <row r="39">
      <c r="D39" t="inlineStr">
        <is>
          <t>BP038</t>
        </is>
      </c>
      <c r="E39" t="inlineStr">
        <is>
          <t>Product 38</t>
        </is>
      </c>
      <c r="F39" t="inlineStr">
        <is>
          <t>Burger</t>
        </is>
      </c>
    </row>
    <row r="40">
      <c r="D40" t="inlineStr">
        <is>
          <t>BP039</t>
        </is>
      </c>
      <c r="E40" t="inlineStr">
        <is>
          <t>Product 39</t>
        </is>
      </c>
      <c r="F40" t="inlineStr">
        <is>
          <t>Wrap</t>
        </is>
      </c>
    </row>
    <row r="41">
      <c r="D41" t="inlineStr">
        <is>
          <t>BP040</t>
        </is>
      </c>
      <c r="E41" t="inlineStr">
        <is>
          <t>Product 40</t>
        </is>
      </c>
      <c r="F41" t="inlineStr">
        <is>
          <t>Sides</t>
        </is>
      </c>
    </row>
    <row r="42">
      <c r="D42" t="inlineStr">
        <is>
          <t>BP041</t>
        </is>
      </c>
      <c r="E42" t="inlineStr">
        <is>
          <t>Product 41</t>
        </is>
      </c>
      <c r="F42" t="inlineStr">
        <is>
          <t>Pastry</t>
        </is>
      </c>
    </row>
    <row r="43">
      <c r="D43" t="inlineStr">
        <is>
          <t>BP042</t>
        </is>
      </c>
      <c r="E43" t="inlineStr">
        <is>
          <t>Product 42</t>
        </is>
      </c>
      <c r="F43" t="inlineStr">
        <is>
          <t>Cake</t>
        </is>
      </c>
    </row>
    <row r="44">
      <c r="D44" t="inlineStr">
        <is>
          <t>BP043</t>
        </is>
      </c>
      <c r="E44" t="inlineStr">
        <is>
          <t>Product 43</t>
        </is>
      </c>
      <c r="F44" t="inlineStr">
        <is>
          <t>Cookies</t>
        </is>
      </c>
    </row>
    <row r="45">
      <c r="D45" t="inlineStr">
        <is>
          <t>BP044</t>
        </is>
      </c>
      <c r="E45" t="inlineStr">
        <is>
          <t>Product 44</t>
        </is>
      </c>
      <c r="F45" t="inlineStr">
        <is>
          <t>Dessert</t>
        </is>
      </c>
    </row>
    <row r="46">
      <c r="D46" t="inlineStr">
        <is>
          <t>BP045</t>
        </is>
      </c>
      <c r="E46" t="inlineStr">
        <is>
          <t>Product 45</t>
        </is>
      </c>
      <c r="F46" t="inlineStr">
        <is>
          <t>Beverage</t>
        </is>
      </c>
    </row>
    <row r="47">
      <c r="D47" t="inlineStr">
        <is>
          <t>BP046</t>
        </is>
      </c>
      <c r="E47" t="inlineStr">
        <is>
          <t>Product 46</t>
        </is>
      </c>
      <c r="F47" t="inlineStr">
        <is>
          <t>Coffee</t>
        </is>
      </c>
    </row>
    <row r="48">
      <c r="D48" t="inlineStr">
        <is>
          <t>BP047</t>
        </is>
      </c>
      <c r="E48" t="inlineStr">
        <is>
          <t>Product 47</t>
        </is>
      </c>
      <c r="F48" t="inlineStr">
        <is>
          <t>Cold Coffee</t>
        </is>
      </c>
    </row>
    <row r="49">
      <c r="D49" t="inlineStr">
        <is>
          <t>BP048</t>
        </is>
      </c>
      <c r="E49" t="inlineStr">
        <is>
          <t>Product 48</t>
        </is>
      </c>
      <c r="F49" t="inlineStr">
        <is>
          <t>Frappes</t>
        </is>
      </c>
    </row>
    <row r="50">
      <c r="D50" t="inlineStr">
        <is>
          <t>BP049</t>
        </is>
      </c>
      <c r="E50" t="inlineStr">
        <is>
          <t>Product 49</t>
        </is>
      </c>
      <c r="F50" t="inlineStr">
        <is>
          <t>Tea</t>
        </is>
      </c>
    </row>
    <row r="51">
      <c r="D51" t="inlineStr">
        <is>
          <t>BP050</t>
        </is>
      </c>
      <c r="E51" t="inlineStr">
        <is>
          <t>Product 50</t>
        </is>
      </c>
      <c r="F51" t="inlineStr">
        <is>
          <t>Fresh Juice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tabColor rgb="009E9E9E"/>
    <outlinePr summaryBelow="1" summaryRight="1"/>
    <pageSetUpPr/>
  </sheetPr>
  <dimension ref="A1:L5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</cols>
  <sheetData>
    <row r="1">
      <c r="A1" s="108" t="inlineStr">
        <is>
          <t>Inventory_ID</t>
        </is>
      </c>
      <c r="B1" s="108" t="inlineStr">
        <is>
          <t>Outlet_ID</t>
        </is>
      </c>
      <c r="C1" s="108" t="inlineStr">
        <is>
          <t>Product_ID</t>
        </is>
      </c>
      <c r="D1" s="108" t="inlineStr">
        <is>
          <t>Opening_Stock</t>
        </is>
      </c>
      <c r="E1" s="108" t="inlineStr">
        <is>
          <t>Received_Stock</t>
        </is>
      </c>
      <c r="F1" s="108" t="inlineStr">
        <is>
          <t>Units_Sold</t>
        </is>
      </c>
      <c r="G1" s="108" t="inlineStr">
        <is>
          <t>Closing_Stock</t>
        </is>
      </c>
      <c r="H1" s="108" t="inlineStr">
        <is>
          <t>Wastage</t>
        </is>
      </c>
      <c r="I1" s="108" t="inlineStr">
        <is>
          <t>Reorder_Level</t>
        </is>
      </c>
      <c r="J1" s="108" t="inlineStr">
        <is>
          <t>Inventory_Status</t>
        </is>
      </c>
      <c r="K1" s="108" t="inlineStr">
        <is>
          <t>Supplier_Lead_Time_Days</t>
        </is>
      </c>
      <c r="L1" s="108" t="inlineStr">
        <is>
          <t>Remarks</t>
        </is>
      </c>
    </row>
    <row r="2">
      <c r="A2" t="inlineStr">
        <is>
          <t>INV00001</t>
        </is>
      </c>
      <c r="B2" t="inlineStr">
        <is>
          <t>OUT001</t>
        </is>
      </c>
      <c r="C2" t="inlineStr">
        <is>
          <t>BP001</t>
        </is>
      </c>
      <c r="D2" t="n">
        <v>51</v>
      </c>
      <c r="E2" t="n">
        <v>71</v>
      </c>
      <c r="F2" t="n">
        <v>174</v>
      </c>
      <c r="G2" t="n">
        <v>0</v>
      </c>
      <c r="H2" t="n">
        <v>0</v>
      </c>
      <c r="I2" t="n">
        <v>31</v>
      </c>
      <c r="J2" t="inlineStr">
        <is>
          <t>Reorder Required</t>
        </is>
      </c>
      <c r="K2" t="n">
        <v>1</v>
      </c>
      <c r="L2" t="inlineStr">
        <is>
          <t>Restock immediately</t>
        </is>
      </c>
    </row>
    <row r="3">
      <c r="A3" t="inlineStr">
        <is>
          <t>INV00002</t>
        </is>
      </c>
      <c r="B3" t="inlineStr">
        <is>
          <t>OUT001</t>
        </is>
      </c>
      <c r="C3" t="inlineStr">
        <is>
          <t>BP002</t>
        </is>
      </c>
      <c r="D3" t="n">
        <v>127</v>
      </c>
      <c r="E3" t="n">
        <v>96</v>
      </c>
      <c r="F3" t="n">
        <v>72</v>
      </c>
      <c r="G3" t="n">
        <v>149</v>
      </c>
      <c r="H3" t="n">
        <v>2</v>
      </c>
      <c r="I3" t="n">
        <v>19</v>
      </c>
      <c r="J3" t="inlineStr">
        <is>
          <t>Healthy</t>
        </is>
      </c>
      <c r="K3" t="n">
        <v>4</v>
      </c>
    </row>
    <row r="4">
      <c r="A4" t="inlineStr">
        <is>
          <t>INV00003</t>
        </is>
      </c>
      <c r="B4" t="inlineStr">
        <is>
          <t>OUT001</t>
        </is>
      </c>
      <c r="C4" t="inlineStr">
        <is>
          <t>BP003</t>
        </is>
      </c>
      <c r="D4" t="n">
        <v>52</v>
      </c>
      <c r="E4" t="n">
        <v>22</v>
      </c>
      <c r="F4" t="n">
        <v>172</v>
      </c>
      <c r="G4" t="n">
        <v>0</v>
      </c>
      <c r="H4" t="n">
        <v>3</v>
      </c>
      <c r="I4" t="n">
        <v>17</v>
      </c>
      <c r="J4" t="inlineStr">
        <is>
          <t>Reorder Required</t>
        </is>
      </c>
      <c r="K4" t="n">
        <v>5</v>
      </c>
      <c r="L4" t="inlineStr">
        <is>
          <t>Restock immediately</t>
        </is>
      </c>
    </row>
    <row r="5">
      <c r="A5" t="inlineStr">
        <is>
          <t>INV00004</t>
        </is>
      </c>
      <c r="B5" t="inlineStr">
        <is>
          <t>OUT001</t>
        </is>
      </c>
      <c r="C5" t="inlineStr">
        <is>
          <t>BP004</t>
        </is>
      </c>
      <c r="D5" t="n">
        <v>40</v>
      </c>
      <c r="E5" t="n">
        <v>42</v>
      </c>
      <c r="F5" t="n">
        <v>144</v>
      </c>
      <c r="G5" t="n">
        <v>0</v>
      </c>
      <c r="H5" t="n">
        <v>1</v>
      </c>
      <c r="I5" t="n">
        <v>21</v>
      </c>
      <c r="J5" t="inlineStr">
        <is>
          <t>Reorder Required</t>
        </is>
      </c>
      <c r="K5" t="n">
        <v>2</v>
      </c>
      <c r="L5" t="inlineStr">
        <is>
          <t>Restock immediately</t>
        </is>
      </c>
    </row>
    <row r="6">
      <c r="A6" t="inlineStr">
        <is>
          <t>INV00005</t>
        </is>
      </c>
      <c r="B6" t="inlineStr">
        <is>
          <t>OUT001</t>
        </is>
      </c>
      <c r="C6" t="inlineStr">
        <is>
          <t>BP005</t>
        </is>
      </c>
      <c r="D6" t="n">
        <v>104</v>
      </c>
      <c r="E6" t="n">
        <v>36</v>
      </c>
      <c r="F6" t="n">
        <v>98</v>
      </c>
      <c r="G6" t="n">
        <v>39</v>
      </c>
      <c r="H6" t="n">
        <v>3</v>
      </c>
      <c r="I6" t="n">
        <v>38</v>
      </c>
      <c r="J6" t="inlineStr">
        <is>
          <t>Healthy</t>
        </is>
      </c>
      <c r="K6" t="n">
        <v>3</v>
      </c>
    </row>
    <row r="7">
      <c r="A7" t="inlineStr">
        <is>
          <t>INV00006</t>
        </is>
      </c>
      <c r="B7" t="inlineStr">
        <is>
          <t>OUT001</t>
        </is>
      </c>
      <c r="C7" t="inlineStr">
        <is>
          <t>BP006</t>
        </is>
      </c>
      <c r="D7" t="n">
        <v>111</v>
      </c>
      <c r="E7" t="n">
        <v>25</v>
      </c>
      <c r="F7" t="n">
        <v>95</v>
      </c>
      <c r="G7" t="n">
        <v>39</v>
      </c>
      <c r="H7" t="n">
        <v>2</v>
      </c>
      <c r="I7" t="n">
        <v>32</v>
      </c>
      <c r="J7" t="inlineStr">
        <is>
          <t>Healthy</t>
        </is>
      </c>
      <c r="K7" t="n">
        <v>5</v>
      </c>
    </row>
    <row r="8">
      <c r="A8" t="inlineStr">
        <is>
          <t>INV00007</t>
        </is>
      </c>
      <c r="B8" t="inlineStr">
        <is>
          <t>OUT001</t>
        </is>
      </c>
      <c r="C8" t="inlineStr">
        <is>
          <t>BP007</t>
        </is>
      </c>
      <c r="D8" t="n">
        <v>66</v>
      </c>
      <c r="E8" t="n">
        <v>29</v>
      </c>
      <c r="F8" t="n">
        <v>66</v>
      </c>
      <c r="G8" t="n">
        <v>27</v>
      </c>
      <c r="H8" t="n">
        <v>2</v>
      </c>
      <c r="I8" t="n">
        <v>18</v>
      </c>
      <c r="J8" t="inlineStr">
        <is>
          <t>Healthy</t>
        </is>
      </c>
      <c r="K8" t="n">
        <v>4</v>
      </c>
    </row>
    <row r="9">
      <c r="A9" t="inlineStr">
        <is>
          <t>INV00008</t>
        </is>
      </c>
      <c r="B9" t="inlineStr">
        <is>
          <t>OUT001</t>
        </is>
      </c>
      <c r="C9" t="inlineStr">
        <is>
          <t>BP008</t>
        </is>
      </c>
      <c r="D9" t="n">
        <v>96</v>
      </c>
      <c r="E9" t="n">
        <v>74</v>
      </c>
      <c r="F9" t="n">
        <v>137</v>
      </c>
      <c r="G9" t="n">
        <v>32</v>
      </c>
      <c r="H9" t="n">
        <v>1</v>
      </c>
      <c r="I9" t="n">
        <v>32</v>
      </c>
      <c r="J9" t="inlineStr">
        <is>
          <t>Reorder Required</t>
        </is>
      </c>
      <c r="K9" t="n">
        <v>4</v>
      </c>
      <c r="L9" t="inlineStr">
        <is>
          <t>Restock immediately</t>
        </is>
      </c>
    </row>
    <row r="10">
      <c r="A10" t="inlineStr">
        <is>
          <t>INV00009</t>
        </is>
      </c>
      <c r="B10" t="inlineStr">
        <is>
          <t>OUT001</t>
        </is>
      </c>
      <c r="C10" t="inlineStr">
        <is>
          <t>BP009</t>
        </is>
      </c>
      <c r="D10" t="n">
        <v>54</v>
      </c>
      <c r="E10" t="n">
        <v>84</v>
      </c>
      <c r="F10" t="n">
        <v>159</v>
      </c>
      <c r="G10" t="n">
        <v>0</v>
      </c>
      <c r="H10" t="n">
        <v>1</v>
      </c>
      <c r="I10" t="n">
        <v>37</v>
      </c>
      <c r="J10" t="inlineStr">
        <is>
          <t>Reorder Required</t>
        </is>
      </c>
      <c r="K10" t="n">
        <v>3</v>
      </c>
      <c r="L10" t="inlineStr">
        <is>
          <t>Restock immediately</t>
        </is>
      </c>
    </row>
    <row r="11">
      <c r="A11" t="inlineStr">
        <is>
          <t>INV00010</t>
        </is>
      </c>
      <c r="B11" t="inlineStr">
        <is>
          <t>OUT001</t>
        </is>
      </c>
      <c r="C11" t="inlineStr">
        <is>
          <t>BP010</t>
        </is>
      </c>
      <c r="D11" t="n">
        <v>43</v>
      </c>
      <c r="E11" t="n">
        <v>86</v>
      </c>
      <c r="F11" t="n">
        <v>101</v>
      </c>
      <c r="G11" t="n">
        <v>26</v>
      </c>
      <c r="H11" t="n">
        <v>2</v>
      </c>
      <c r="I11" t="n">
        <v>36</v>
      </c>
      <c r="J11" t="inlineStr">
        <is>
          <t>Reorder Required</t>
        </is>
      </c>
      <c r="K11" t="n">
        <v>3</v>
      </c>
      <c r="L11" t="inlineStr">
        <is>
          <t>Restock immediately</t>
        </is>
      </c>
    </row>
    <row r="12">
      <c r="A12" t="inlineStr">
        <is>
          <t>INV00011</t>
        </is>
      </c>
      <c r="B12" t="inlineStr">
        <is>
          <t>OUT001</t>
        </is>
      </c>
      <c r="C12" t="inlineStr">
        <is>
          <t>BP011</t>
        </is>
      </c>
      <c r="D12" t="n">
        <v>127</v>
      </c>
      <c r="E12" t="n">
        <v>45</v>
      </c>
      <c r="F12" t="n">
        <v>113</v>
      </c>
      <c r="G12" t="n">
        <v>58</v>
      </c>
      <c r="H12" t="n">
        <v>1</v>
      </c>
      <c r="I12" t="n">
        <v>29</v>
      </c>
      <c r="J12" t="inlineStr">
        <is>
          <t>Healthy</t>
        </is>
      </c>
      <c r="K12" t="n">
        <v>2</v>
      </c>
    </row>
    <row r="13">
      <c r="A13" t="inlineStr">
        <is>
          <t>INV00012</t>
        </is>
      </c>
      <c r="B13" t="inlineStr">
        <is>
          <t>OUT001</t>
        </is>
      </c>
      <c r="C13" t="inlineStr">
        <is>
          <t>BP012</t>
        </is>
      </c>
      <c r="D13" t="n">
        <v>95</v>
      </c>
      <c r="E13" t="n">
        <v>53</v>
      </c>
      <c r="F13" t="n">
        <v>92</v>
      </c>
      <c r="G13" t="n">
        <v>54</v>
      </c>
      <c r="H13" t="n">
        <v>2</v>
      </c>
      <c r="I13" t="n">
        <v>21</v>
      </c>
      <c r="J13" t="inlineStr">
        <is>
          <t>Healthy</t>
        </is>
      </c>
      <c r="K13" t="n">
        <v>5</v>
      </c>
    </row>
    <row r="14">
      <c r="A14" t="inlineStr">
        <is>
          <t>INV00013</t>
        </is>
      </c>
      <c r="B14" t="inlineStr">
        <is>
          <t>OUT001</t>
        </is>
      </c>
      <c r="C14" t="inlineStr">
        <is>
          <t>BP013</t>
        </is>
      </c>
      <c r="D14" t="n">
        <v>45</v>
      </c>
      <c r="E14" t="n">
        <v>38</v>
      </c>
      <c r="F14" t="n">
        <v>105</v>
      </c>
      <c r="G14" t="n">
        <v>0</v>
      </c>
      <c r="H14" t="n">
        <v>0</v>
      </c>
      <c r="I14" t="n">
        <v>29</v>
      </c>
      <c r="J14" t="inlineStr">
        <is>
          <t>Reorder Required</t>
        </is>
      </c>
      <c r="K14" t="n">
        <v>1</v>
      </c>
      <c r="L14" t="inlineStr">
        <is>
          <t>Restock immediately</t>
        </is>
      </c>
    </row>
    <row r="15">
      <c r="A15" t="inlineStr">
        <is>
          <t>INV00014</t>
        </is>
      </c>
      <c r="B15" t="inlineStr">
        <is>
          <t>OUT001</t>
        </is>
      </c>
      <c r="C15" t="inlineStr">
        <is>
          <t>BP014</t>
        </is>
      </c>
      <c r="D15" t="n">
        <v>101</v>
      </c>
      <c r="E15" t="n">
        <v>75</v>
      </c>
      <c r="F15" t="n">
        <v>74</v>
      </c>
      <c r="G15" t="n">
        <v>102</v>
      </c>
      <c r="H15" t="n">
        <v>0</v>
      </c>
      <c r="I15" t="n">
        <v>31</v>
      </c>
      <c r="J15" t="inlineStr">
        <is>
          <t>Healthy</t>
        </is>
      </c>
      <c r="K15" t="n">
        <v>3</v>
      </c>
    </row>
    <row r="16">
      <c r="A16" t="inlineStr">
        <is>
          <t>INV00015</t>
        </is>
      </c>
      <c r="B16" t="inlineStr">
        <is>
          <t>OUT001</t>
        </is>
      </c>
      <c r="C16" t="inlineStr">
        <is>
          <t>BP015</t>
        </is>
      </c>
      <c r="D16" t="n">
        <v>115</v>
      </c>
      <c r="E16" t="n">
        <v>25</v>
      </c>
      <c r="F16" t="n">
        <v>144</v>
      </c>
      <c r="G16" t="n">
        <v>0</v>
      </c>
      <c r="H16" t="n">
        <v>2</v>
      </c>
      <c r="I16" t="n">
        <v>32</v>
      </c>
      <c r="J16" t="inlineStr">
        <is>
          <t>Reorder Required</t>
        </is>
      </c>
      <c r="K16" t="n">
        <v>3</v>
      </c>
      <c r="L16" t="inlineStr">
        <is>
          <t>Restock immediately</t>
        </is>
      </c>
    </row>
    <row r="17">
      <c r="A17" t="inlineStr">
        <is>
          <t>INV00016</t>
        </is>
      </c>
      <c r="B17" t="inlineStr">
        <is>
          <t>OUT001</t>
        </is>
      </c>
      <c r="C17" t="inlineStr">
        <is>
          <t>BP016</t>
        </is>
      </c>
      <c r="D17" t="n">
        <v>112</v>
      </c>
      <c r="E17" t="n">
        <v>75</v>
      </c>
      <c r="F17" t="n">
        <v>96</v>
      </c>
      <c r="G17" t="n">
        <v>90</v>
      </c>
      <c r="H17" t="n">
        <v>1</v>
      </c>
      <c r="I17" t="n">
        <v>29</v>
      </c>
      <c r="J17" t="inlineStr">
        <is>
          <t>Healthy</t>
        </is>
      </c>
      <c r="K17" t="n">
        <v>1</v>
      </c>
    </row>
    <row r="18">
      <c r="A18" t="inlineStr">
        <is>
          <t>INV00017</t>
        </is>
      </c>
      <c r="B18" t="inlineStr">
        <is>
          <t>OUT001</t>
        </is>
      </c>
      <c r="C18" t="inlineStr">
        <is>
          <t>BP017</t>
        </is>
      </c>
      <c r="D18" t="n">
        <v>131</v>
      </c>
      <c r="E18" t="n">
        <v>43</v>
      </c>
      <c r="F18" t="n">
        <v>133</v>
      </c>
      <c r="G18" t="n">
        <v>41</v>
      </c>
      <c r="H18" t="n">
        <v>0</v>
      </c>
      <c r="I18" t="n">
        <v>34</v>
      </c>
      <c r="J18" t="inlineStr">
        <is>
          <t>Healthy</t>
        </is>
      </c>
      <c r="K18" t="n">
        <v>5</v>
      </c>
    </row>
    <row r="19">
      <c r="A19" t="inlineStr">
        <is>
          <t>INV00018</t>
        </is>
      </c>
      <c r="B19" t="inlineStr">
        <is>
          <t>OUT001</t>
        </is>
      </c>
      <c r="C19" t="inlineStr">
        <is>
          <t>BP018</t>
        </is>
      </c>
      <c r="D19" t="n">
        <v>51</v>
      </c>
      <c r="E19" t="n">
        <v>53</v>
      </c>
      <c r="F19" t="n">
        <v>114</v>
      </c>
      <c r="G19" t="n">
        <v>0</v>
      </c>
      <c r="H19" t="n">
        <v>0</v>
      </c>
      <c r="I19" t="n">
        <v>23</v>
      </c>
      <c r="J19" t="inlineStr">
        <is>
          <t>Reorder Required</t>
        </is>
      </c>
      <c r="K19" t="n">
        <v>1</v>
      </c>
      <c r="L19" t="inlineStr">
        <is>
          <t>Restock immediately</t>
        </is>
      </c>
    </row>
    <row r="20">
      <c r="A20" t="inlineStr">
        <is>
          <t>INV00019</t>
        </is>
      </c>
      <c r="B20" t="inlineStr">
        <is>
          <t>OUT001</t>
        </is>
      </c>
      <c r="C20" t="inlineStr">
        <is>
          <t>BP019</t>
        </is>
      </c>
      <c r="D20" t="n">
        <v>92</v>
      </c>
      <c r="E20" t="n">
        <v>36</v>
      </c>
      <c r="F20" t="n">
        <v>89</v>
      </c>
      <c r="G20" t="n">
        <v>38</v>
      </c>
      <c r="H20" t="n">
        <v>1</v>
      </c>
      <c r="I20" t="n">
        <v>28</v>
      </c>
      <c r="J20" t="inlineStr">
        <is>
          <t>Healthy</t>
        </is>
      </c>
      <c r="K20" t="n">
        <v>2</v>
      </c>
    </row>
    <row r="21">
      <c r="A21" t="inlineStr">
        <is>
          <t>INV00020</t>
        </is>
      </c>
      <c r="B21" t="inlineStr">
        <is>
          <t>OUT001</t>
        </is>
      </c>
      <c r="C21" t="inlineStr">
        <is>
          <t>BP020</t>
        </is>
      </c>
      <c r="D21" t="n">
        <v>72</v>
      </c>
      <c r="E21" t="n">
        <v>80</v>
      </c>
      <c r="F21" t="n">
        <v>146</v>
      </c>
      <c r="G21" t="n">
        <v>5</v>
      </c>
      <c r="H21" t="n">
        <v>1</v>
      </c>
      <c r="I21" t="n">
        <v>28</v>
      </c>
      <c r="J21" t="inlineStr">
        <is>
          <t>Reorder Required</t>
        </is>
      </c>
      <c r="K21" t="n">
        <v>1</v>
      </c>
      <c r="L21" t="inlineStr">
        <is>
          <t>Restock immediately</t>
        </is>
      </c>
    </row>
    <row r="22">
      <c r="A22" t="inlineStr">
        <is>
          <t>INV00021</t>
        </is>
      </c>
      <c r="B22" t="inlineStr">
        <is>
          <t>OUT001</t>
        </is>
      </c>
      <c r="C22" t="inlineStr">
        <is>
          <t>BP021</t>
        </is>
      </c>
      <c r="D22" t="n">
        <v>52</v>
      </c>
      <c r="E22" t="n">
        <v>31</v>
      </c>
      <c r="F22" t="n">
        <v>77</v>
      </c>
      <c r="G22" t="n">
        <v>3</v>
      </c>
      <c r="H22" t="n">
        <v>3</v>
      </c>
      <c r="I22" t="n">
        <v>19</v>
      </c>
      <c r="J22" t="inlineStr">
        <is>
          <t>Reorder Required</t>
        </is>
      </c>
      <c r="K22" t="n">
        <v>5</v>
      </c>
      <c r="L22" t="inlineStr">
        <is>
          <t>Restock immediately</t>
        </is>
      </c>
    </row>
    <row r="23">
      <c r="A23" t="inlineStr">
        <is>
          <t>INV00022</t>
        </is>
      </c>
      <c r="B23" t="inlineStr">
        <is>
          <t>OUT001</t>
        </is>
      </c>
      <c r="C23" t="inlineStr">
        <is>
          <t>BP022</t>
        </is>
      </c>
      <c r="D23" t="n">
        <v>141</v>
      </c>
      <c r="E23" t="n">
        <v>94</v>
      </c>
      <c r="F23" t="n">
        <v>115</v>
      </c>
      <c r="G23" t="n">
        <v>120</v>
      </c>
      <c r="H23" t="n">
        <v>0</v>
      </c>
      <c r="I23" t="n">
        <v>29</v>
      </c>
      <c r="J23" t="inlineStr">
        <is>
          <t>Healthy</t>
        </is>
      </c>
      <c r="K23" t="n">
        <v>5</v>
      </c>
    </row>
    <row r="24">
      <c r="A24" t="inlineStr">
        <is>
          <t>INV00023</t>
        </is>
      </c>
      <c r="B24" t="inlineStr">
        <is>
          <t>OUT001</t>
        </is>
      </c>
      <c r="C24" t="inlineStr">
        <is>
          <t>BP023</t>
        </is>
      </c>
      <c r="D24" t="n">
        <v>55</v>
      </c>
      <c r="E24" t="n">
        <v>92</v>
      </c>
      <c r="F24" t="n">
        <v>119</v>
      </c>
      <c r="G24" t="n">
        <v>25</v>
      </c>
      <c r="H24" t="n">
        <v>3</v>
      </c>
      <c r="I24" t="n">
        <v>30</v>
      </c>
      <c r="J24" t="inlineStr">
        <is>
          <t>Reorder Required</t>
        </is>
      </c>
      <c r="K24" t="n">
        <v>5</v>
      </c>
      <c r="L24" t="inlineStr">
        <is>
          <t>Restock immediately</t>
        </is>
      </c>
    </row>
    <row r="25">
      <c r="A25" t="inlineStr">
        <is>
          <t>INV00024</t>
        </is>
      </c>
      <c r="B25" t="inlineStr">
        <is>
          <t>OUT001</t>
        </is>
      </c>
      <c r="C25" t="inlineStr">
        <is>
          <t>BP024</t>
        </is>
      </c>
      <c r="D25" t="n">
        <v>150</v>
      </c>
      <c r="E25" t="n">
        <v>69</v>
      </c>
      <c r="F25" t="n">
        <v>86</v>
      </c>
      <c r="G25" t="n">
        <v>130</v>
      </c>
      <c r="H25" t="n">
        <v>3</v>
      </c>
      <c r="I25" t="n">
        <v>28</v>
      </c>
      <c r="J25" t="inlineStr">
        <is>
          <t>Healthy</t>
        </is>
      </c>
      <c r="K25" t="n">
        <v>3</v>
      </c>
    </row>
    <row r="26">
      <c r="A26" t="inlineStr">
        <is>
          <t>INV00025</t>
        </is>
      </c>
      <c r="B26" t="inlineStr">
        <is>
          <t>OUT001</t>
        </is>
      </c>
      <c r="C26" t="inlineStr">
        <is>
          <t>BP025</t>
        </is>
      </c>
      <c r="D26" t="n">
        <v>86</v>
      </c>
      <c r="E26" t="n">
        <v>30</v>
      </c>
      <c r="F26" t="n">
        <v>117</v>
      </c>
      <c r="G26" t="n">
        <v>0</v>
      </c>
      <c r="H26" t="n">
        <v>2</v>
      </c>
      <c r="I26" t="n">
        <v>26</v>
      </c>
      <c r="J26" t="inlineStr">
        <is>
          <t>Reorder Required</t>
        </is>
      </c>
      <c r="K26" t="n">
        <v>5</v>
      </c>
      <c r="L26" t="inlineStr">
        <is>
          <t>Restock immediately</t>
        </is>
      </c>
    </row>
    <row r="27">
      <c r="A27" t="inlineStr">
        <is>
          <t>INV00026</t>
        </is>
      </c>
      <c r="B27" t="inlineStr">
        <is>
          <t>OUT001</t>
        </is>
      </c>
      <c r="C27" t="inlineStr">
        <is>
          <t>BP026</t>
        </is>
      </c>
      <c r="D27" t="n">
        <v>53</v>
      </c>
      <c r="E27" t="n">
        <v>25</v>
      </c>
      <c r="F27" t="n">
        <v>114</v>
      </c>
      <c r="G27" t="n">
        <v>0</v>
      </c>
      <c r="H27" t="n">
        <v>2</v>
      </c>
      <c r="I27" t="n">
        <v>40</v>
      </c>
      <c r="J27" t="inlineStr">
        <is>
          <t>Reorder Required</t>
        </is>
      </c>
      <c r="K27" t="n">
        <v>5</v>
      </c>
      <c r="L27" t="inlineStr">
        <is>
          <t>Restock immediately</t>
        </is>
      </c>
    </row>
    <row r="28">
      <c r="A28" t="inlineStr">
        <is>
          <t>INV00027</t>
        </is>
      </c>
      <c r="B28" t="inlineStr">
        <is>
          <t>OUT001</t>
        </is>
      </c>
      <c r="C28" t="inlineStr">
        <is>
          <t>BP027</t>
        </is>
      </c>
      <c r="D28" t="n">
        <v>44</v>
      </c>
      <c r="E28" t="n">
        <v>39</v>
      </c>
      <c r="F28" t="n">
        <v>134</v>
      </c>
      <c r="G28" t="n">
        <v>0</v>
      </c>
      <c r="H28" t="n">
        <v>0</v>
      </c>
      <c r="I28" t="n">
        <v>37</v>
      </c>
      <c r="J28" t="inlineStr">
        <is>
          <t>Reorder Required</t>
        </is>
      </c>
      <c r="K28" t="n">
        <v>4</v>
      </c>
      <c r="L28" t="inlineStr">
        <is>
          <t>Restock immediately</t>
        </is>
      </c>
    </row>
    <row r="29">
      <c r="A29" t="inlineStr">
        <is>
          <t>INV00028</t>
        </is>
      </c>
      <c r="B29" t="inlineStr">
        <is>
          <t>OUT001</t>
        </is>
      </c>
      <c r="C29" t="inlineStr">
        <is>
          <t>BP028</t>
        </is>
      </c>
      <c r="D29" t="n">
        <v>41</v>
      </c>
      <c r="E29" t="n">
        <v>44</v>
      </c>
      <c r="F29" t="n">
        <v>99</v>
      </c>
      <c r="G29" t="n">
        <v>0</v>
      </c>
      <c r="H29" t="n">
        <v>0</v>
      </c>
      <c r="I29" t="n">
        <v>17</v>
      </c>
      <c r="J29" t="inlineStr">
        <is>
          <t>Reorder Required</t>
        </is>
      </c>
      <c r="K29" t="n">
        <v>5</v>
      </c>
      <c r="L29" t="inlineStr">
        <is>
          <t>Restock immediately</t>
        </is>
      </c>
    </row>
    <row r="30">
      <c r="A30" t="inlineStr">
        <is>
          <t>INV00029</t>
        </is>
      </c>
      <c r="B30" t="inlineStr">
        <is>
          <t>OUT001</t>
        </is>
      </c>
      <c r="C30" t="inlineStr">
        <is>
          <t>BP029</t>
        </is>
      </c>
      <c r="D30" t="n">
        <v>114</v>
      </c>
      <c r="E30" t="n">
        <v>24</v>
      </c>
      <c r="F30" t="n">
        <v>173</v>
      </c>
      <c r="G30" t="n">
        <v>0</v>
      </c>
      <c r="H30" t="n">
        <v>1</v>
      </c>
      <c r="I30" t="n">
        <v>15</v>
      </c>
      <c r="J30" t="inlineStr">
        <is>
          <t>Reorder Required</t>
        </is>
      </c>
      <c r="K30" t="n">
        <v>2</v>
      </c>
      <c r="L30" t="inlineStr">
        <is>
          <t>Restock immediately</t>
        </is>
      </c>
    </row>
    <row r="31">
      <c r="A31" t="inlineStr">
        <is>
          <t>INV00030</t>
        </is>
      </c>
      <c r="B31" t="inlineStr">
        <is>
          <t>OUT001</t>
        </is>
      </c>
      <c r="C31" t="inlineStr">
        <is>
          <t>BP030</t>
        </is>
      </c>
      <c r="D31" t="n">
        <v>53</v>
      </c>
      <c r="E31" t="n">
        <v>100</v>
      </c>
      <c r="F31" t="n">
        <v>90</v>
      </c>
      <c r="G31" t="n">
        <v>59</v>
      </c>
      <c r="H31" t="n">
        <v>4</v>
      </c>
      <c r="I31" t="n">
        <v>16</v>
      </c>
      <c r="J31" t="inlineStr">
        <is>
          <t>Healthy</t>
        </is>
      </c>
      <c r="K31" t="n">
        <v>1</v>
      </c>
    </row>
    <row r="32">
      <c r="A32" t="inlineStr">
        <is>
          <t>INV00031</t>
        </is>
      </c>
      <c r="B32" t="inlineStr">
        <is>
          <t>OUT001</t>
        </is>
      </c>
      <c r="C32" t="inlineStr">
        <is>
          <t>BP031</t>
        </is>
      </c>
      <c r="D32" t="n">
        <v>120</v>
      </c>
      <c r="E32" t="n">
        <v>82</v>
      </c>
      <c r="F32" t="n">
        <v>114</v>
      </c>
      <c r="G32" t="n">
        <v>81</v>
      </c>
      <c r="H32" t="n">
        <v>7</v>
      </c>
      <c r="I32" t="n">
        <v>30</v>
      </c>
      <c r="J32" t="inlineStr">
        <is>
          <t>Healthy</t>
        </is>
      </c>
      <c r="K32" t="n">
        <v>2</v>
      </c>
    </row>
    <row r="33">
      <c r="A33" t="inlineStr">
        <is>
          <t>INV00032</t>
        </is>
      </c>
      <c r="B33" t="inlineStr">
        <is>
          <t>OUT001</t>
        </is>
      </c>
      <c r="C33" t="inlineStr">
        <is>
          <t>BP032</t>
        </is>
      </c>
      <c r="D33" t="n">
        <v>40</v>
      </c>
      <c r="E33" t="n">
        <v>20</v>
      </c>
      <c r="F33" t="n">
        <v>158</v>
      </c>
      <c r="G33" t="n">
        <v>0</v>
      </c>
      <c r="H33" t="n">
        <v>5</v>
      </c>
      <c r="I33" t="n">
        <v>38</v>
      </c>
      <c r="J33" t="inlineStr">
        <is>
          <t>Reorder Required</t>
        </is>
      </c>
      <c r="K33" t="n">
        <v>1</v>
      </c>
      <c r="L33" t="inlineStr">
        <is>
          <t>Restock immediately</t>
        </is>
      </c>
    </row>
    <row r="34">
      <c r="A34" t="inlineStr">
        <is>
          <t>INV00033</t>
        </is>
      </c>
      <c r="B34" t="inlineStr">
        <is>
          <t>OUT001</t>
        </is>
      </c>
      <c r="C34" t="inlineStr">
        <is>
          <t>BP033</t>
        </is>
      </c>
      <c r="D34" t="n">
        <v>98</v>
      </c>
      <c r="E34" t="n">
        <v>46</v>
      </c>
      <c r="F34" t="n">
        <v>88</v>
      </c>
      <c r="G34" t="n">
        <v>51</v>
      </c>
      <c r="H34" t="n">
        <v>5</v>
      </c>
      <c r="I34" t="n">
        <v>40</v>
      </c>
      <c r="J34" t="inlineStr">
        <is>
          <t>Healthy</t>
        </is>
      </c>
      <c r="K34" t="n">
        <v>5</v>
      </c>
    </row>
    <row r="35">
      <c r="A35" t="inlineStr">
        <is>
          <t>INV00034</t>
        </is>
      </c>
      <c r="B35" t="inlineStr">
        <is>
          <t>OUT001</t>
        </is>
      </c>
      <c r="C35" t="inlineStr">
        <is>
          <t>BP034</t>
        </is>
      </c>
      <c r="D35" t="n">
        <v>90</v>
      </c>
      <c r="E35" t="n">
        <v>22</v>
      </c>
      <c r="F35" t="n">
        <v>93</v>
      </c>
      <c r="G35" t="n">
        <v>16</v>
      </c>
      <c r="H35" t="n">
        <v>3</v>
      </c>
      <c r="I35" t="n">
        <v>32</v>
      </c>
      <c r="J35" t="inlineStr">
        <is>
          <t>Reorder Required</t>
        </is>
      </c>
      <c r="K35" t="n">
        <v>4</v>
      </c>
      <c r="L35" t="inlineStr">
        <is>
          <t>Restock immediately</t>
        </is>
      </c>
    </row>
    <row r="36">
      <c r="A36" t="inlineStr">
        <is>
          <t>INV00035</t>
        </is>
      </c>
      <c r="B36" t="inlineStr">
        <is>
          <t>OUT001</t>
        </is>
      </c>
      <c r="C36" t="inlineStr">
        <is>
          <t>BP035</t>
        </is>
      </c>
      <c r="D36" t="n">
        <v>132</v>
      </c>
      <c r="E36" t="n">
        <v>53</v>
      </c>
      <c r="F36" t="n">
        <v>70</v>
      </c>
      <c r="G36" t="n">
        <v>108</v>
      </c>
      <c r="H36" t="n">
        <v>7</v>
      </c>
      <c r="I36" t="n">
        <v>29</v>
      </c>
      <c r="J36" t="inlineStr">
        <is>
          <t>Healthy</t>
        </is>
      </c>
      <c r="K36" t="n">
        <v>5</v>
      </c>
    </row>
    <row r="37">
      <c r="A37" t="inlineStr">
        <is>
          <t>INV00036</t>
        </is>
      </c>
      <c r="B37" t="inlineStr">
        <is>
          <t>OUT001</t>
        </is>
      </c>
      <c r="C37" t="inlineStr">
        <is>
          <t>BP036</t>
        </is>
      </c>
      <c r="D37" t="n">
        <v>113</v>
      </c>
      <c r="E37" t="n">
        <v>64</v>
      </c>
      <c r="F37" t="n">
        <v>107</v>
      </c>
      <c r="G37" t="n">
        <v>65</v>
      </c>
      <c r="H37" t="n">
        <v>5</v>
      </c>
      <c r="I37" t="n">
        <v>30</v>
      </c>
      <c r="J37" t="inlineStr">
        <is>
          <t>Healthy</t>
        </is>
      </c>
      <c r="K37" t="n">
        <v>4</v>
      </c>
    </row>
    <row r="38">
      <c r="A38" t="inlineStr">
        <is>
          <t>INV00037</t>
        </is>
      </c>
      <c r="B38" t="inlineStr">
        <is>
          <t>OUT001</t>
        </is>
      </c>
      <c r="C38" t="inlineStr">
        <is>
          <t>BP037</t>
        </is>
      </c>
      <c r="D38" t="n">
        <v>105</v>
      </c>
      <c r="E38" t="n">
        <v>65</v>
      </c>
      <c r="F38" t="n">
        <v>112</v>
      </c>
      <c r="G38" t="n">
        <v>56</v>
      </c>
      <c r="H38" t="n">
        <v>2</v>
      </c>
      <c r="I38" t="n">
        <v>28</v>
      </c>
      <c r="J38" t="inlineStr">
        <is>
          <t>Healthy</t>
        </is>
      </c>
      <c r="K38" t="n">
        <v>2</v>
      </c>
    </row>
    <row r="39">
      <c r="A39" t="inlineStr">
        <is>
          <t>INV00038</t>
        </is>
      </c>
      <c r="B39" t="inlineStr">
        <is>
          <t>OUT001</t>
        </is>
      </c>
      <c r="C39" t="inlineStr">
        <is>
          <t>BP038</t>
        </is>
      </c>
      <c r="D39" t="n">
        <v>97</v>
      </c>
      <c r="E39" t="n">
        <v>43</v>
      </c>
      <c r="F39" t="n">
        <v>139</v>
      </c>
      <c r="G39" t="n">
        <v>0</v>
      </c>
      <c r="H39" t="n">
        <v>4</v>
      </c>
      <c r="I39" t="n">
        <v>39</v>
      </c>
      <c r="J39" t="inlineStr">
        <is>
          <t>Reorder Required</t>
        </is>
      </c>
      <c r="K39" t="n">
        <v>4</v>
      </c>
      <c r="L39" t="inlineStr">
        <is>
          <t>Restock immediately</t>
        </is>
      </c>
    </row>
    <row r="40">
      <c r="A40" t="inlineStr">
        <is>
          <t>INV00039</t>
        </is>
      </c>
      <c r="B40" t="inlineStr">
        <is>
          <t>OUT001</t>
        </is>
      </c>
      <c r="C40" t="inlineStr">
        <is>
          <t>BP039</t>
        </is>
      </c>
      <c r="D40" t="n">
        <v>143</v>
      </c>
      <c r="E40" t="n">
        <v>60</v>
      </c>
      <c r="F40" t="n">
        <v>80</v>
      </c>
      <c r="G40" t="n">
        <v>116</v>
      </c>
      <c r="H40" t="n">
        <v>7</v>
      </c>
      <c r="I40" t="n">
        <v>38</v>
      </c>
      <c r="J40" t="inlineStr">
        <is>
          <t>Healthy</t>
        </is>
      </c>
      <c r="K40" t="n">
        <v>4</v>
      </c>
    </row>
    <row r="41">
      <c r="A41" t="inlineStr">
        <is>
          <t>INV00040</t>
        </is>
      </c>
      <c r="B41" t="inlineStr">
        <is>
          <t>OUT001</t>
        </is>
      </c>
      <c r="C41" t="inlineStr">
        <is>
          <t>BP040</t>
        </is>
      </c>
      <c r="D41" t="n">
        <v>115</v>
      </c>
      <c r="E41" t="n">
        <v>79</v>
      </c>
      <c r="F41" t="n">
        <v>80</v>
      </c>
      <c r="G41" t="n">
        <v>106</v>
      </c>
      <c r="H41" t="n">
        <v>8</v>
      </c>
      <c r="I41" t="n">
        <v>30</v>
      </c>
      <c r="J41" t="inlineStr">
        <is>
          <t>Healthy</t>
        </is>
      </c>
      <c r="K41" t="n">
        <v>2</v>
      </c>
    </row>
    <row r="42">
      <c r="A42" t="inlineStr">
        <is>
          <t>INV00041</t>
        </is>
      </c>
      <c r="B42" t="inlineStr">
        <is>
          <t>OUT001</t>
        </is>
      </c>
      <c r="C42" t="inlineStr">
        <is>
          <t>BP041</t>
        </is>
      </c>
      <c r="D42" t="n">
        <v>115</v>
      </c>
      <c r="E42" t="n">
        <v>99</v>
      </c>
      <c r="F42" t="n">
        <v>95</v>
      </c>
      <c r="G42" t="n">
        <v>119</v>
      </c>
      <c r="H42" t="n">
        <v>0</v>
      </c>
      <c r="I42" t="n">
        <v>30</v>
      </c>
      <c r="J42" t="inlineStr">
        <is>
          <t>Healthy</t>
        </is>
      </c>
      <c r="K42" t="n">
        <v>5</v>
      </c>
    </row>
    <row r="43">
      <c r="A43" t="inlineStr">
        <is>
          <t>INV00042</t>
        </is>
      </c>
      <c r="B43" t="inlineStr">
        <is>
          <t>OUT001</t>
        </is>
      </c>
      <c r="C43" t="inlineStr">
        <is>
          <t>BP042</t>
        </is>
      </c>
      <c r="D43" t="n">
        <v>51</v>
      </c>
      <c r="E43" t="n">
        <v>48</v>
      </c>
      <c r="F43" t="n">
        <v>111</v>
      </c>
      <c r="G43" t="n">
        <v>0</v>
      </c>
      <c r="H43" t="n">
        <v>2</v>
      </c>
      <c r="I43" t="n">
        <v>15</v>
      </c>
      <c r="J43" t="inlineStr">
        <is>
          <t>Reorder Required</t>
        </is>
      </c>
      <c r="K43" t="n">
        <v>2</v>
      </c>
      <c r="L43" t="inlineStr">
        <is>
          <t>Restock immediately</t>
        </is>
      </c>
    </row>
    <row r="44">
      <c r="A44" t="inlineStr">
        <is>
          <t>INV00043</t>
        </is>
      </c>
      <c r="B44" t="inlineStr">
        <is>
          <t>OUT001</t>
        </is>
      </c>
      <c r="C44" t="inlineStr">
        <is>
          <t>BP043</t>
        </is>
      </c>
      <c r="D44" t="n">
        <v>101</v>
      </c>
      <c r="E44" t="n">
        <v>45</v>
      </c>
      <c r="F44" t="n">
        <v>96</v>
      </c>
      <c r="G44" t="n">
        <v>49</v>
      </c>
      <c r="H44" t="n">
        <v>1</v>
      </c>
      <c r="I44" t="n">
        <v>38</v>
      </c>
      <c r="J44" t="inlineStr">
        <is>
          <t>Healthy</t>
        </is>
      </c>
      <c r="K44" t="n">
        <v>2</v>
      </c>
    </row>
    <row r="45">
      <c r="A45" t="inlineStr">
        <is>
          <t>INV00044</t>
        </is>
      </c>
      <c r="B45" t="inlineStr">
        <is>
          <t>OUT001</t>
        </is>
      </c>
      <c r="C45" t="inlineStr">
        <is>
          <t>BP044</t>
        </is>
      </c>
      <c r="D45" t="n">
        <v>41</v>
      </c>
      <c r="E45" t="n">
        <v>50</v>
      </c>
      <c r="F45" t="n">
        <v>139</v>
      </c>
      <c r="G45" t="n">
        <v>0</v>
      </c>
      <c r="H45" t="n">
        <v>3</v>
      </c>
      <c r="I45" t="n">
        <v>19</v>
      </c>
      <c r="J45" t="inlineStr">
        <is>
          <t>Reorder Required</t>
        </is>
      </c>
      <c r="K45" t="n">
        <v>5</v>
      </c>
      <c r="L45" t="inlineStr">
        <is>
          <t>Restock immediately</t>
        </is>
      </c>
    </row>
    <row r="46">
      <c r="A46" t="inlineStr">
        <is>
          <t>INV00045</t>
        </is>
      </c>
      <c r="B46" t="inlineStr">
        <is>
          <t>OUT001</t>
        </is>
      </c>
      <c r="C46" t="inlineStr">
        <is>
          <t>BP045</t>
        </is>
      </c>
      <c r="D46" t="n">
        <v>79</v>
      </c>
      <c r="E46" t="n">
        <v>51</v>
      </c>
      <c r="F46" t="n">
        <v>79</v>
      </c>
      <c r="G46" t="n">
        <v>51</v>
      </c>
      <c r="H46" t="n">
        <v>0</v>
      </c>
      <c r="I46" t="n">
        <v>35</v>
      </c>
      <c r="J46" t="inlineStr">
        <is>
          <t>Healthy</t>
        </is>
      </c>
      <c r="K46" t="n">
        <v>5</v>
      </c>
    </row>
    <row r="47">
      <c r="A47" t="inlineStr">
        <is>
          <t>INV00046</t>
        </is>
      </c>
      <c r="B47" t="inlineStr">
        <is>
          <t>OUT001</t>
        </is>
      </c>
      <c r="C47" t="inlineStr">
        <is>
          <t>BP046</t>
        </is>
      </c>
      <c r="D47" t="n">
        <v>109</v>
      </c>
      <c r="E47" t="n">
        <v>42</v>
      </c>
      <c r="F47" t="n">
        <v>111</v>
      </c>
      <c r="G47" t="n">
        <v>38</v>
      </c>
      <c r="H47" t="n">
        <v>2</v>
      </c>
      <c r="I47" t="n">
        <v>35</v>
      </c>
      <c r="J47" t="inlineStr">
        <is>
          <t>Healthy</t>
        </is>
      </c>
      <c r="K47" t="n">
        <v>1</v>
      </c>
    </row>
    <row r="48">
      <c r="A48" t="inlineStr">
        <is>
          <t>INV00047</t>
        </is>
      </c>
      <c r="B48" t="inlineStr">
        <is>
          <t>OUT001</t>
        </is>
      </c>
      <c r="C48" t="inlineStr">
        <is>
          <t>BP047</t>
        </is>
      </c>
      <c r="D48" t="n">
        <v>147</v>
      </c>
      <c r="E48" t="n">
        <v>72</v>
      </c>
      <c r="F48" t="n">
        <v>86</v>
      </c>
      <c r="G48" t="n">
        <v>131</v>
      </c>
      <c r="H48" t="n">
        <v>2</v>
      </c>
      <c r="I48" t="n">
        <v>40</v>
      </c>
      <c r="J48" t="inlineStr">
        <is>
          <t>Healthy</t>
        </is>
      </c>
      <c r="K48" t="n">
        <v>5</v>
      </c>
    </row>
    <row r="49">
      <c r="A49" t="inlineStr">
        <is>
          <t>INV00048</t>
        </is>
      </c>
      <c r="B49" t="inlineStr">
        <is>
          <t>OUT001</t>
        </is>
      </c>
      <c r="C49" t="inlineStr">
        <is>
          <t>BP048</t>
        </is>
      </c>
      <c r="D49" t="n">
        <v>66</v>
      </c>
      <c r="E49" t="n">
        <v>88</v>
      </c>
      <c r="F49" t="n">
        <v>75</v>
      </c>
      <c r="G49" t="n">
        <v>77</v>
      </c>
      <c r="H49" t="n">
        <v>2</v>
      </c>
      <c r="I49" t="n">
        <v>30</v>
      </c>
      <c r="J49" t="inlineStr">
        <is>
          <t>Healthy</t>
        </is>
      </c>
      <c r="K49" t="n">
        <v>5</v>
      </c>
    </row>
    <row r="50">
      <c r="A50" t="inlineStr">
        <is>
          <t>INV00049</t>
        </is>
      </c>
      <c r="B50" t="inlineStr">
        <is>
          <t>OUT001</t>
        </is>
      </c>
      <c r="C50" t="inlineStr">
        <is>
          <t>BP049</t>
        </is>
      </c>
      <c r="D50" t="n">
        <v>94</v>
      </c>
      <c r="E50" t="n">
        <v>41</v>
      </c>
      <c r="F50" t="n">
        <v>143</v>
      </c>
      <c r="G50" t="n">
        <v>0</v>
      </c>
      <c r="H50" t="n">
        <v>2</v>
      </c>
      <c r="I50" t="n">
        <v>33</v>
      </c>
      <c r="J50" t="inlineStr">
        <is>
          <t>Reorder Required</t>
        </is>
      </c>
      <c r="K50" t="n">
        <v>3</v>
      </c>
      <c r="L50" t="inlineStr">
        <is>
          <t>Restock immediately</t>
        </is>
      </c>
    </row>
    <row r="51">
      <c r="A51" t="inlineStr">
        <is>
          <t>INV00050</t>
        </is>
      </c>
      <c r="B51" t="inlineStr">
        <is>
          <t>OUT001</t>
        </is>
      </c>
      <c r="C51" t="inlineStr">
        <is>
          <t>BP050</t>
        </is>
      </c>
      <c r="D51" t="n">
        <v>89</v>
      </c>
      <c r="E51" t="n">
        <v>73</v>
      </c>
      <c r="F51" t="n">
        <v>130</v>
      </c>
      <c r="G51" t="n">
        <v>30</v>
      </c>
      <c r="H51" t="n">
        <v>2</v>
      </c>
      <c r="I51" t="n">
        <v>17</v>
      </c>
      <c r="J51" t="inlineStr">
        <is>
          <t>Healthy</t>
        </is>
      </c>
      <c r="K51" t="n">
        <v>2</v>
      </c>
    </row>
    <row r="52">
      <c r="A52" t="inlineStr">
        <is>
          <t>INV00051</t>
        </is>
      </c>
      <c r="B52" t="inlineStr">
        <is>
          <t>OUT002</t>
        </is>
      </c>
      <c r="C52" t="inlineStr">
        <is>
          <t>BP001</t>
        </is>
      </c>
      <c r="D52" t="n">
        <v>140</v>
      </c>
      <c r="E52" t="n">
        <v>90</v>
      </c>
      <c r="F52" t="n">
        <v>124</v>
      </c>
      <c r="G52" t="n">
        <v>104</v>
      </c>
      <c r="H52" t="n">
        <v>2</v>
      </c>
      <c r="I52" t="n">
        <v>35</v>
      </c>
      <c r="J52" t="inlineStr">
        <is>
          <t>Healthy</t>
        </is>
      </c>
      <c r="K52" t="n">
        <v>3</v>
      </c>
    </row>
    <row r="53">
      <c r="A53" t="inlineStr">
        <is>
          <t>INV00052</t>
        </is>
      </c>
      <c r="B53" t="inlineStr">
        <is>
          <t>OUT002</t>
        </is>
      </c>
      <c r="C53" t="inlineStr">
        <is>
          <t>BP002</t>
        </is>
      </c>
      <c r="D53" t="n">
        <v>100</v>
      </c>
      <c r="E53" t="n">
        <v>49</v>
      </c>
      <c r="F53" t="n">
        <v>60</v>
      </c>
      <c r="G53" t="n">
        <v>86</v>
      </c>
      <c r="H53" t="n">
        <v>3</v>
      </c>
      <c r="I53" t="n">
        <v>20</v>
      </c>
      <c r="J53" t="inlineStr">
        <is>
          <t>Healthy</t>
        </is>
      </c>
      <c r="K53" t="n">
        <v>4</v>
      </c>
    </row>
    <row r="54">
      <c r="A54" t="inlineStr">
        <is>
          <t>INV00053</t>
        </is>
      </c>
      <c r="B54" t="inlineStr">
        <is>
          <t>OUT002</t>
        </is>
      </c>
      <c r="C54" t="inlineStr">
        <is>
          <t>BP003</t>
        </is>
      </c>
      <c r="D54" t="n">
        <v>145</v>
      </c>
      <c r="E54" t="n">
        <v>33</v>
      </c>
      <c r="F54" t="n">
        <v>64</v>
      </c>
      <c r="G54" t="n">
        <v>114</v>
      </c>
      <c r="H54" t="n">
        <v>0</v>
      </c>
      <c r="I54" t="n">
        <v>37</v>
      </c>
      <c r="J54" t="inlineStr">
        <is>
          <t>Healthy</t>
        </is>
      </c>
      <c r="K54" t="n">
        <v>5</v>
      </c>
    </row>
    <row r="55">
      <c r="A55" t="inlineStr">
        <is>
          <t>INV00054</t>
        </is>
      </c>
      <c r="B55" t="inlineStr">
        <is>
          <t>OUT002</t>
        </is>
      </c>
      <c r="C55" t="inlineStr">
        <is>
          <t>BP004</t>
        </is>
      </c>
      <c r="D55" t="n">
        <v>132</v>
      </c>
      <c r="E55" t="n">
        <v>67</v>
      </c>
      <c r="F55" t="n">
        <v>110</v>
      </c>
      <c r="G55" t="n">
        <v>87</v>
      </c>
      <c r="H55" t="n">
        <v>2</v>
      </c>
      <c r="I55" t="n">
        <v>31</v>
      </c>
      <c r="J55" t="inlineStr">
        <is>
          <t>Healthy</t>
        </is>
      </c>
      <c r="K55" t="n">
        <v>1</v>
      </c>
    </row>
    <row r="56">
      <c r="A56" t="inlineStr">
        <is>
          <t>INV00055</t>
        </is>
      </c>
      <c r="B56" t="inlineStr">
        <is>
          <t>OUT002</t>
        </is>
      </c>
      <c r="C56" t="inlineStr">
        <is>
          <t>BP005</t>
        </is>
      </c>
      <c r="D56" t="n">
        <v>102</v>
      </c>
      <c r="E56" t="n">
        <v>93</v>
      </c>
      <c r="F56" t="n">
        <v>86</v>
      </c>
      <c r="G56" t="n">
        <v>108</v>
      </c>
      <c r="H56" t="n">
        <v>1</v>
      </c>
      <c r="I56" t="n">
        <v>38</v>
      </c>
      <c r="J56" t="inlineStr">
        <is>
          <t>Healthy</t>
        </is>
      </c>
      <c r="K56" t="n">
        <v>3</v>
      </c>
    </row>
    <row r="57">
      <c r="A57" t="inlineStr">
        <is>
          <t>INV00056</t>
        </is>
      </c>
      <c r="B57" t="inlineStr">
        <is>
          <t>OUT002</t>
        </is>
      </c>
      <c r="C57" t="inlineStr">
        <is>
          <t>BP006</t>
        </is>
      </c>
      <c r="D57" t="n">
        <v>70</v>
      </c>
      <c r="E57" t="n">
        <v>56</v>
      </c>
      <c r="F57" t="n">
        <v>72</v>
      </c>
      <c r="G57" t="n">
        <v>54</v>
      </c>
      <c r="H57" t="n">
        <v>0</v>
      </c>
      <c r="I57" t="n">
        <v>39</v>
      </c>
      <c r="J57" t="inlineStr">
        <is>
          <t>Healthy</t>
        </is>
      </c>
      <c r="K57" t="n">
        <v>2</v>
      </c>
    </row>
    <row r="58">
      <c r="A58" t="inlineStr">
        <is>
          <t>INV00057</t>
        </is>
      </c>
      <c r="B58" t="inlineStr">
        <is>
          <t>OUT002</t>
        </is>
      </c>
      <c r="C58" t="inlineStr">
        <is>
          <t>BP007</t>
        </is>
      </c>
      <c r="D58" t="n">
        <v>103</v>
      </c>
      <c r="E58" t="n">
        <v>68</v>
      </c>
      <c r="F58" t="n">
        <v>70</v>
      </c>
      <c r="G58" t="n">
        <v>101</v>
      </c>
      <c r="H58" t="n">
        <v>0</v>
      </c>
      <c r="I58" t="n">
        <v>18</v>
      </c>
      <c r="J58" t="inlineStr">
        <is>
          <t>Healthy</t>
        </is>
      </c>
      <c r="K58" t="n">
        <v>1</v>
      </c>
    </row>
    <row r="59">
      <c r="A59" t="inlineStr">
        <is>
          <t>INV00058</t>
        </is>
      </c>
      <c r="B59" t="inlineStr">
        <is>
          <t>OUT002</t>
        </is>
      </c>
      <c r="C59" t="inlineStr">
        <is>
          <t>BP008</t>
        </is>
      </c>
      <c r="D59" t="n">
        <v>128</v>
      </c>
      <c r="E59" t="n">
        <v>61</v>
      </c>
      <c r="F59" t="n">
        <v>90</v>
      </c>
      <c r="G59" t="n">
        <v>99</v>
      </c>
      <c r="H59" t="n">
        <v>0</v>
      </c>
      <c r="I59" t="n">
        <v>18</v>
      </c>
      <c r="J59" t="inlineStr">
        <is>
          <t>Healthy</t>
        </is>
      </c>
      <c r="K59" t="n">
        <v>4</v>
      </c>
    </row>
    <row r="60">
      <c r="A60" t="inlineStr">
        <is>
          <t>INV00059</t>
        </is>
      </c>
      <c r="B60" t="inlineStr">
        <is>
          <t>OUT002</t>
        </is>
      </c>
      <c r="C60" t="inlineStr">
        <is>
          <t>BP009</t>
        </is>
      </c>
      <c r="D60" t="n">
        <v>89</v>
      </c>
      <c r="E60" t="n">
        <v>88</v>
      </c>
      <c r="F60" t="n">
        <v>125</v>
      </c>
      <c r="G60" t="n">
        <v>52</v>
      </c>
      <c r="H60" t="n">
        <v>0</v>
      </c>
      <c r="I60" t="n">
        <v>27</v>
      </c>
      <c r="J60" t="inlineStr">
        <is>
          <t>Healthy</t>
        </is>
      </c>
      <c r="K60" t="n">
        <v>3</v>
      </c>
    </row>
    <row r="61">
      <c r="A61" t="inlineStr">
        <is>
          <t>INV00060</t>
        </is>
      </c>
      <c r="B61" t="inlineStr">
        <is>
          <t>OUT002</t>
        </is>
      </c>
      <c r="C61" t="inlineStr">
        <is>
          <t>BP010</t>
        </is>
      </c>
      <c r="D61" t="n">
        <v>63</v>
      </c>
      <c r="E61" t="n">
        <v>90</v>
      </c>
      <c r="F61" t="n">
        <v>102</v>
      </c>
      <c r="G61" t="n">
        <v>48</v>
      </c>
      <c r="H61" t="n">
        <v>3</v>
      </c>
      <c r="I61" t="n">
        <v>19</v>
      </c>
      <c r="J61" t="inlineStr">
        <is>
          <t>Healthy</t>
        </is>
      </c>
      <c r="K61" t="n">
        <v>5</v>
      </c>
    </row>
    <row r="62">
      <c r="A62" t="inlineStr">
        <is>
          <t>INV00061</t>
        </is>
      </c>
      <c r="B62" t="inlineStr">
        <is>
          <t>OUT002</t>
        </is>
      </c>
      <c r="C62" t="inlineStr">
        <is>
          <t>BP011</t>
        </is>
      </c>
      <c r="D62" t="n">
        <v>86</v>
      </c>
      <c r="E62" t="n">
        <v>47</v>
      </c>
      <c r="F62" t="n">
        <v>127</v>
      </c>
      <c r="G62" t="n">
        <v>6</v>
      </c>
      <c r="H62" t="n">
        <v>0</v>
      </c>
      <c r="I62" t="n">
        <v>24</v>
      </c>
      <c r="J62" t="inlineStr">
        <is>
          <t>Reorder Required</t>
        </is>
      </c>
      <c r="K62" t="n">
        <v>1</v>
      </c>
      <c r="L62" t="inlineStr">
        <is>
          <t>Restock immediately</t>
        </is>
      </c>
    </row>
    <row r="63">
      <c r="A63" t="inlineStr">
        <is>
          <t>INV00062</t>
        </is>
      </c>
      <c r="B63" t="inlineStr">
        <is>
          <t>OUT002</t>
        </is>
      </c>
      <c r="C63" t="inlineStr">
        <is>
          <t>BP012</t>
        </is>
      </c>
      <c r="D63" t="n">
        <v>123</v>
      </c>
      <c r="E63" t="n">
        <v>55</v>
      </c>
      <c r="F63" t="n">
        <v>85</v>
      </c>
      <c r="G63" t="n">
        <v>90</v>
      </c>
      <c r="H63" t="n">
        <v>3</v>
      </c>
      <c r="I63" t="n">
        <v>22</v>
      </c>
      <c r="J63" t="inlineStr">
        <is>
          <t>Healthy</t>
        </is>
      </c>
      <c r="K63" t="n">
        <v>4</v>
      </c>
    </row>
    <row r="64">
      <c r="A64" t="inlineStr">
        <is>
          <t>INV00063</t>
        </is>
      </c>
      <c r="B64" t="inlineStr">
        <is>
          <t>OUT002</t>
        </is>
      </c>
      <c r="C64" t="inlineStr">
        <is>
          <t>BP013</t>
        </is>
      </c>
      <c r="D64" t="n">
        <v>51</v>
      </c>
      <c r="E64" t="n">
        <v>59</v>
      </c>
      <c r="F64" t="n">
        <v>76</v>
      </c>
      <c r="G64" t="n">
        <v>33</v>
      </c>
      <c r="H64" t="n">
        <v>1</v>
      </c>
      <c r="I64" t="n">
        <v>15</v>
      </c>
      <c r="J64" t="inlineStr">
        <is>
          <t>Healthy</t>
        </is>
      </c>
      <c r="K64" t="n">
        <v>5</v>
      </c>
    </row>
    <row r="65">
      <c r="A65" t="inlineStr">
        <is>
          <t>INV00064</t>
        </is>
      </c>
      <c r="B65" t="inlineStr">
        <is>
          <t>OUT002</t>
        </is>
      </c>
      <c r="C65" t="inlineStr">
        <is>
          <t>BP014</t>
        </is>
      </c>
      <c r="D65" t="n">
        <v>44</v>
      </c>
      <c r="E65" t="n">
        <v>89</v>
      </c>
      <c r="F65" t="n">
        <v>116</v>
      </c>
      <c r="G65" t="n">
        <v>14</v>
      </c>
      <c r="H65" t="n">
        <v>3</v>
      </c>
      <c r="I65" t="n">
        <v>17</v>
      </c>
      <c r="J65" t="inlineStr">
        <is>
          <t>Reorder Required</t>
        </is>
      </c>
      <c r="K65" t="n">
        <v>3</v>
      </c>
      <c r="L65" t="inlineStr">
        <is>
          <t>Restock immediately</t>
        </is>
      </c>
    </row>
    <row r="66">
      <c r="A66" t="inlineStr">
        <is>
          <t>INV00065</t>
        </is>
      </c>
      <c r="B66" t="inlineStr">
        <is>
          <t>OUT002</t>
        </is>
      </c>
      <c r="C66" t="inlineStr">
        <is>
          <t>BP015</t>
        </is>
      </c>
      <c r="D66" t="n">
        <v>87</v>
      </c>
      <c r="E66" t="n">
        <v>98</v>
      </c>
      <c r="F66" t="n">
        <v>46</v>
      </c>
      <c r="G66" t="n">
        <v>139</v>
      </c>
      <c r="H66" t="n">
        <v>0</v>
      </c>
      <c r="I66" t="n">
        <v>39</v>
      </c>
      <c r="J66" t="inlineStr">
        <is>
          <t>Healthy</t>
        </is>
      </c>
      <c r="K66" t="n">
        <v>1</v>
      </c>
    </row>
    <row r="67">
      <c r="A67" t="inlineStr">
        <is>
          <t>INV00066</t>
        </is>
      </c>
      <c r="B67" t="inlineStr">
        <is>
          <t>OUT002</t>
        </is>
      </c>
      <c r="C67" t="inlineStr">
        <is>
          <t>BP016</t>
        </is>
      </c>
      <c r="D67" t="n">
        <v>88</v>
      </c>
      <c r="E67" t="n">
        <v>29</v>
      </c>
      <c r="F67" t="n">
        <v>122</v>
      </c>
      <c r="G67" t="n">
        <v>0</v>
      </c>
      <c r="H67" t="n">
        <v>3</v>
      </c>
      <c r="I67" t="n">
        <v>30</v>
      </c>
      <c r="J67" t="inlineStr">
        <is>
          <t>Reorder Required</t>
        </is>
      </c>
      <c r="K67" t="n">
        <v>3</v>
      </c>
      <c r="L67" t="inlineStr">
        <is>
          <t>Restock immediately</t>
        </is>
      </c>
    </row>
    <row r="68">
      <c r="A68" t="inlineStr">
        <is>
          <t>INV00067</t>
        </is>
      </c>
      <c r="B68" t="inlineStr">
        <is>
          <t>OUT002</t>
        </is>
      </c>
      <c r="C68" t="inlineStr">
        <is>
          <t>BP017</t>
        </is>
      </c>
      <c r="D68" t="n">
        <v>144</v>
      </c>
      <c r="E68" t="n">
        <v>84</v>
      </c>
      <c r="F68" t="n">
        <v>52</v>
      </c>
      <c r="G68" t="n">
        <v>173</v>
      </c>
      <c r="H68" t="n">
        <v>3</v>
      </c>
      <c r="I68" t="n">
        <v>19</v>
      </c>
      <c r="J68" t="inlineStr">
        <is>
          <t>Healthy</t>
        </is>
      </c>
      <c r="K68" t="n">
        <v>2</v>
      </c>
    </row>
    <row r="69">
      <c r="A69" t="inlineStr">
        <is>
          <t>INV00068</t>
        </is>
      </c>
      <c r="B69" t="inlineStr">
        <is>
          <t>OUT002</t>
        </is>
      </c>
      <c r="C69" t="inlineStr">
        <is>
          <t>BP018</t>
        </is>
      </c>
      <c r="D69" t="n">
        <v>90</v>
      </c>
      <c r="E69" t="n">
        <v>100</v>
      </c>
      <c r="F69" t="n">
        <v>77</v>
      </c>
      <c r="G69" t="n">
        <v>111</v>
      </c>
      <c r="H69" t="n">
        <v>2</v>
      </c>
      <c r="I69" t="n">
        <v>27</v>
      </c>
      <c r="J69" t="inlineStr">
        <is>
          <t>Healthy</t>
        </is>
      </c>
      <c r="K69" t="n">
        <v>3</v>
      </c>
    </row>
    <row r="70">
      <c r="A70" t="inlineStr">
        <is>
          <t>INV00069</t>
        </is>
      </c>
      <c r="B70" t="inlineStr">
        <is>
          <t>OUT002</t>
        </is>
      </c>
      <c r="C70" t="inlineStr">
        <is>
          <t>BP019</t>
        </is>
      </c>
      <c r="D70" t="n">
        <v>53</v>
      </c>
      <c r="E70" t="n">
        <v>80</v>
      </c>
      <c r="F70" t="n">
        <v>101</v>
      </c>
      <c r="G70" t="n">
        <v>32</v>
      </c>
      <c r="H70" t="n">
        <v>0</v>
      </c>
      <c r="I70" t="n">
        <v>36</v>
      </c>
      <c r="J70" t="inlineStr">
        <is>
          <t>Reorder Required</t>
        </is>
      </c>
      <c r="K70" t="n">
        <v>2</v>
      </c>
      <c r="L70" t="inlineStr">
        <is>
          <t>Restock immediately</t>
        </is>
      </c>
    </row>
    <row r="71">
      <c r="A71" t="inlineStr">
        <is>
          <t>INV00070</t>
        </is>
      </c>
      <c r="B71" t="inlineStr">
        <is>
          <t>OUT002</t>
        </is>
      </c>
      <c r="C71" t="inlineStr">
        <is>
          <t>BP020</t>
        </is>
      </c>
      <c r="D71" t="n">
        <v>79</v>
      </c>
      <c r="E71" t="n">
        <v>33</v>
      </c>
      <c r="F71" t="n">
        <v>129</v>
      </c>
      <c r="G71" t="n">
        <v>0</v>
      </c>
      <c r="H71" t="n">
        <v>1</v>
      </c>
      <c r="I71" t="n">
        <v>24</v>
      </c>
      <c r="J71" t="inlineStr">
        <is>
          <t>Reorder Required</t>
        </is>
      </c>
      <c r="K71" t="n">
        <v>4</v>
      </c>
      <c r="L71" t="inlineStr">
        <is>
          <t>Restock immediately</t>
        </is>
      </c>
    </row>
    <row r="72">
      <c r="A72" t="inlineStr">
        <is>
          <t>INV00071</t>
        </is>
      </c>
      <c r="B72" t="inlineStr">
        <is>
          <t>OUT002</t>
        </is>
      </c>
      <c r="C72" t="inlineStr">
        <is>
          <t>BP021</t>
        </is>
      </c>
      <c r="D72" t="n">
        <v>91</v>
      </c>
      <c r="E72" t="n">
        <v>92</v>
      </c>
      <c r="F72" t="n">
        <v>86</v>
      </c>
      <c r="G72" t="n">
        <v>95</v>
      </c>
      <c r="H72" t="n">
        <v>2</v>
      </c>
      <c r="I72" t="n">
        <v>20</v>
      </c>
      <c r="J72" t="inlineStr">
        <is>
          <t>Healthy</t>
        </is>
      </c>
      <c r="K72" t="n">
        <v>4</v>
      </c>
    </row>
    <row r="73">
      <c r="A73" t="inlineStr">
        <is>
          <t>INV00072</t>
        </is>
      </c>
      <c r="B73" t="inlineStr">
        <is>
          <t>OUT002</t>
        </is>
      </c>
      <c r="C73" t="inlineStr">
        <is>
          <t>BP022</t>
        </is>
      </c>
      <c r="D73" t="n">
        <v>149</v>
      </c>
      <c r="E73" t="n">
        <v>45</v>
      </c>
      <c r="F73" t="n">
        <v>66</v>
      </c>
      <c r="G73" t="n">
        <v>125</v>
      </c>
      <c r="H73" t="n">
        <v>3</v>
      </c>
      <c r="I73" t="n">
        <v>21</v>
      </c>
      <c r="J73" t="inlineStr">
        <is>
          <t>Healthy</t>
        </is>
      </c>
      <c r="K73" t="n">
        <v>4</v>
      </c>
    </row>
    <row r="74">
      <c r="A74" t="inlineStr">
        <is>
          <t>INV00073</t>
        </is>
      </c>
      <c r="B74" t="inlineStr">
        <is>
          <t>OUT002</t>
        </is>
      </c>
      <c r="C74" t="inlineStr">
        <is>
          <t>BP023</t>
        </is>
      </c>
      <c r="D74" t="n">
        <v>55</v>
      </c>
      <c r="E74" t="n">
        <v>76</v>
      </c>
      <c r="F74" t="n">
        <v>61</v>
      </c>
      <c r="G74" t="n">
        <v>70</v>
      </c>
      <c r="H74" t="n">
        <v>0</v>
      </c>
      <c r="I74" t="n">
        <v>28</v>
      </c>
      <c r="J74" t="inlineStr">
        <is>
          <t>Healthy</t>
        </is>
      </c>
      <c r="K74" t="n">
        <v>4</v>
      </c>
    </row>
    <row r="75">
      <c r="A75" t="inlineStr">
        <is>
          <t>INV00074</t>
        </is>
      </c>
      <c r="B75" t="inlineStr">
        <is>
          <t>OUT002</t>
        </is>
      </c>
      <c r="C75" t="inlineStr">
        <is>
          <t>BP024</t>
        </is>
      </c>
      <c r="D75" t="n">
        <v>49</v>
      </c>
      <c r="E75" t="n">
        <v>21</v>
      </c>
      <c r="F75" t="n">
        <v>74</v>
      </c>
      <c r="G75" t="n">
        <v>0</v>
      </c>
      <c r="H75" t="n">
        <v>3</v>
      </c>
      <c r="I75" t="n">
        <v>34</v>
      </c>
      <c r="J75" t="inlineStr">
        <is>
          <t>Reorder Required</t>
        </is>
      </c>
      <c r="K75" t="n">
        <v>4</v>
      </c>
      <c r="L75" t="inlineStr">
        <is>
          <t>Restock immediately</t>
        </is>
      </c>
    </row>
    <row r="76">
      <c r="A76" t="inlineStr">
        <is>
          <t>INV00075</t>
        </is>
      </c>
      <c r="B76" t="inlineStr">
        <is>
          <t>OUT002</t>
        </is>
      </c>
      <c r="C76" t="inlineStr">
        <is>
          <t>BP025</t>
        </is>
      </c>
      <c r="D76" t="n">
        <v>101</v>
      </c>
      <c r="E76" t="n">
        <v>32</v>
      </c>
      <c r="F76" t="n">
        <v>84</v>
      </c>
      <c r="G76" t="n">
        <v>46</v>
      </c>
      <c r="H76" t="n">
        <v>3</v>
      </c>
      <c r="I76" t="n">
        <v>15</v>
      </c>
      <c r="J76" t="inlineStr">
        <is>
          <t>Healthy</t>
        </is>
      </c>
      <c r="K76" t="n">
        <v>5</v>
      </c>
    </row>
    <row r="77">
      <c r="A77" t="inlineStr">
        <is>
          <t>INV00076</t>
        </is>
      </c>
      <c r="B77" t="inlineStr">
        <is>
          <t>OUT002</t>
        </is>
      </c>
      <c r="C77" t="inlineStr">
        <is>
          <t>BP026</t>
        </is>
      </c>
      <c r="D77" t="n">
        <v>98</v>
      </c>
      <c r="E77" t="n">
        <v>21</v>
      </c>
      <c r="F77" t="n">
        <v>104</v>
      </c>
      <c r="G77" t="n">
        <v>12</v>
      </c>
      <c r="H77" t="n">
        <v>3</v>
      </c>
      <c r="I77" t="n">
        <v>16</v>
      </c>
      <c r="J77" t="inlineStr">
        <is>
          <t>Reorder Required</t>
        </is>
      </c>
      <c r="K77" t="n">
        <v>4</v>
      </c>
      <c r="L77" t="inlineStr">
        <is>
          <t>Restock immediately</t>
        </is>
      </c>
    </row>
    <row r="78">
      <c r="A78" t="inlineStr">
        <is>
          <t>INV00077</t>
        </is>
      </c>
      <c r="B78" t="inlineStr">
        <is>
          <t>OUT002</t>
        </is>
      </c>
      <c r="C78" t="inlineStr">
        <is>
          <t>BP027</t>
        </is>
      </c>
      <c r="D78" t="n">
        <v>98</v>
      </c>
      <c r="E78" t="n">
        <v>66</v>
      </c>
      <c r="F78" t="n">
        <v>46</v>
      </c>
      <c r="G78" t="n">
        <v>117</v>
      </c>
      <c r="H78" t="n">
        <v>1</v>
      </c>
      <c r="I78" t="n">
        <v>29</v>
      </c>
      <c r="J78" t="inlineStr">
        <is>
          <t>Healthy</t>
        </is>
      </c>
      <c r="K78" t="n">
        <v>3</v>
      </c>
    </row>
    <row r="79">
      <c r="A79" t="inlineStr">
        <is>
          <t>INV00078</t>
        </is>
      </c>
      <c r="B79" t="inlineStr">
        <is>
          <t>OUT002</t>
        </is>
      </c>
      <c r="C79" t="inlineStr">
        <is>
          <t>BP028</t>
        </is>
      </c>
      <c r="D79" t="n">
        <v>65</v>
      </c>
      <c r="E79" t="n">
        <v>91</v>
      </c>
      <c r="F79" t="n">
        <v>107</v>
      </c>
      <c r="G79" t="n">
        <v>48</v>
      </c>
      <c r="H79" t="n">
        <v>1</v>
      </c>
      <c r="I79" t="n">
        <v>25</v>
      </c>
      <c r="J79" t="inlineStr">
        <is>
          <t>Healthy</t>
        </is>
      </c>
      <c r="K79" t="n">
        <v>4</v>
      </c>
    </row>
    <row r="80">
      <c r="A80" t="inlineStr">
        <is>
          <t>INV00079</t>
        </is>
      </c>
      <c r="B80" t="inlineStr">
        <is>
          <t>OUT002</t>
        </is>
      </c>
      <c r="C80" t="inlineStr">
        <is>
          <t>BP029</t>
        </is>
      </c>
      <c r="D80" t="n">
        <v>58</v>
      </c>
      <c r="E80" t="n">
        <v>29</v>
      </c>
      <c r="F80" t="n">
        <v>79</v>
      </c>
      <c r="G80" t="n">
        <v>5</v>
      </c>
      <c r="H80" t="n">
        <v>3</v>
      </c>
      <c r="I80" t="n">
        <v>36</v>
      </c>
      <c r="J80" t="inlineStr">
        <is>
          <t>Reorder Required</t>
        </is>
      </c>
      <c r="K80" t="n">
        <v>3</v>
      </c>
      <c r="L80" t="inlineStr">
        <is>
          <t>Restock immediately</t>
        </is>
      </c>
    </row>
    <row r="81">
      <c r="A81" t="inlineStr">
        <is>
          <t>INV00080</t>
        </is>
      </c>
      <c r="B81" t="inlineStr">
        <is>
          <t>OUT002</t>
        </is>
      </c>
      <c r="C81" t="inlineStr">
        <is>
          <t>BP030</t>
        </is>
      </c>
      <c r="D81" t="n">
        <v>62</v>
      </c>
      <c r="E81" t="n">
        <v>37</v>
      </c>
      <c r="F81" t="n">
        <v>105</v>
      </c>
      <c r="G81" t="n">
        <v>0</v>
      </c>
      <c r="H81" t="n">
        <v>7</v>
      </c>
      <c r="I81" t="n">
        <v>24</v>
      </c>
      <c r="J81" t="inlineStr">
        <is>
          <t>Reorder Required</t>
        </is>
      </c>
      <c r="K81" t="n">
        <v>5</v>
      </c>
      <c r="L81" t="inlineStr">
        <is>
          <t>Restock immediately</t>
        </is>
      </c>
    </row>
    <row r="82">
      <c r="A82" t="inlineStr">
        <is>
          <t>INV00081</t>
        </is>
      </c>
      <c r="B82" t="inlineStr">
        <is>
          <t>OUT002</t>
        </is>
      </c>
      <c r="C82" t="inlineStr">
        <is>
          <t>BP031</t>
        </is>
      </c>
      <c r="D82" t="n">
        <v>98</v>
      </c>
      <c r="E82" t="n">
        <v>59</v>
      </c>
      <c r="F82" t="n">
        <v>68</v>
      </c>
      <c r="G82" t="n">
        <v>87</v>
      </c>
      <c r="H82" t="n">
        <v>2</v>
      </c>
      <c r="I82" t="n">
        <v>31</v>
      </c>
      <c r="J82" t="inlineStr">
        <is>
          <t>Healthy</t>
        </is>
      </c>
      <c r="K82" t="n">
        <v>5</v>
      </c>
    </row>
    <row r="83">
      <c r="A83" t="inlineStr">
        <is>
          <t>INV00082</t>
        </is>
      </c>
      <c r="B83" t="inlineStr">
        <is>
          <t>OUT002</t>
        </is>
      </c>
      <c r="C83" t="inlineStr">
        <is>
          <t>BP032</t>
        </is>
      </c>
      <c r="D83" t="n">
        <v>118</v>
      </c>
      <c r="E83" t="n">
        <v>100</v>
      </c>
      <c r="F83" t="n">
        <v>61</v>
      </c>
      <c r="G83" t="n">
        <v>151</v>
      </c>
      <c r="H83" t="n">
        <v>6</v>
      </c>
      <c r="I83" t="n">
        <v>35</v>
      </c>
      <c r="J83" t="inlineStr">
        <is>
          <t>Healthy</t>
        </is>
      </c>
      <c r="K83" t="n">
        <v>2</v>
      </c>
    </row>
    <row r="84">
      <c r="A84" t="inlineStr">
        <is>
          <t>INV00083</t>
        </is>
      </c>
      <c r="B84" t="inlineStr">
        <is>
          <t>OUT002</t>
        </is>
      </c>
      <c r="C84" t="inlineStr">
        <is>
          <t>BP033</t>
        </is>
      </c>
      <c r="D84" t="n">
        <v>132</v>
      </c>
      <c r="E84" t="n">
        <v>32</v>
      </c>
      <c r="F84" t="n">
        <v>124</v>
      </c>
      <c r="G84" t="n">
        <v>33</v>
      </c>
      <c r="H84" t="n">
        <v>7</v>
      </c>
      <c r="I84" t="n">
        <v>21</v>
      </c>
      <c r="J84" t="inlineStr">
        <is>
          <t>Healthy</t>
        </is>
      </c>
      <c r="K84" t="n">
        <v>5</v>
      </c>
    </row>
    <row r="85">
      <c r="A85" t="inlineStr">
        <is>
          <t>INV00084</t>
        </is>
      </c>
      <c r="B85" t="inlineStr">
        <is>
          <t>OUT002</t>
        </is>
      </c>
      <c r="C85" t="inlineStr">
        <is>
          <t>BP034</t>
        </is>
      </c>
      <c r="D85" t="n">
        <v>102</v>
      </c>
      <c r="E85" t="n">
        <v>51</v>
      </c>
      <c r="F85" t="n">
        <v>107</v>
      </c>
      <c r="G85" t="n">
        <v>39</v>
      </c>
      <c r="H85" t="n">
        <v>7</v>
      </c>
      <c r="I85" t="n">
        <v>37</v>
      </c>
      <c r="J85" t="inlineStr">
        <is>
          <t>Healthy</t>
        </is>
      </c>
      <c r="K85" t="n">
        <v>5</v>
      </c>
    </row>
    <row r="86">
      <c r="A86" t="inlineStr">
        <is>
          <t>INV00085</t>
        </is>
      </c>
      <c r="B86" t="inlineStr">
        <is>
          <t>OUT002</t>
        </is>
      </c>
      <c r="C86" t="inlineStr">
        <is>
          <t>BP035</t>
        </is>
      </c>
      <c r="D86" t="n">
        <v>119</v>
      </c>
      <c r="E86" t="n">
        <v>84</v>
      </c>
      <c r="F86" t="n">
        <v>83</v>
      </c>
      <c r="G86" t="n">
        <v>118</v>
      </c>
      <c r="H86" t="n">
        <v>2</v>
      </c>
      <c r="I86" t="n">
        <v>18</v>
      </c>
      <c r="J86" t="inlineStr">
        <is>
          <t>Healthy</t>
        </is>
      </c>
      <c r="K86" t="n">
        <v>3</v>
      </c>
    </row>
    <row r="87">
      <c r="A87" t="inlineStr">
        <is>
          <t>INV00086</t>
        </is>
      </c>
      <c r="B87" t="inlineStr">
        <is>
          <t>OUT002</t>
        </is>
      </c>
      <c r="C87" t="inlineStr">
        <is>
          <t>BP036</t>
        </is>
      </c>
      <c r="D87" t="n">
        <v>90</v>
      </c>
      <c r="E87" t="n">
        <v>100</v>
      </c>
      <c r="F87" t="n">
        <v>105</v>
      </c>
      <c r="G87" t="n">
        <v>82</v>
      </c>
      <c r="H87" t="n">
        <v>3</v>
      </c>
      <c r="I87" t="n">
        <v>32</v>
      </c>
      <c r="J87" t="inlineStr">
        <is>
          <t>Healthy</t>
        </is>
      </c>
      <c r="K87" t="n">
        <v>4</v>
      </c>
    </row>
    <row r="88">
      <c r="A88" t="inlineStr">
        <is>
          <t>INV00087</t>
        </is>
      </c>
      <c r="B88" t="inlineStr">
        <is>
          <t>OUT002</t>
        </is>
      </c>
      <c r="C88" t="inlineStr">
        <is>
          <t>BP037</t>
        </is>
      </c>
      <c r="D88" t="n">
        <v>107</v>
      </c>
      <c r="E88" t="n">
        <v>64</v>
      </c>
      <c r="F88" t="n">
        <v>122</v>
      </c>
      <c r="G88" t="n">
        <v>43</v>
      </c>
      <c r="H88" t="n">
        <v>6</v>
      </c>
      <c r="I88" t="n">
        <v>33</v>
      </c>
      <c r="J88" t="inlineStr">
        <is>
          <t>Healthy</t>
        </is>
      </c>
      <c r="K88" t="n">
        <v>1</v>
      </c>
    </row>
    <row r="89">
      <c r="A89" t="inlineStr">
        <is>
          <t>INV00088</t>
        </is>
      </c>
      <c r="B89" t="inlineStr">
        <is>
          <t>OUT002</t>
        </is>
      </c>
      <c r="C89" t="inlineStr">
        <is>
          <t>BP038</t>
        </is>
      </c>
      <c r="D89" t="n">
        <v>70</v>
      </c>
      <c r="E89" t="n">
        <v>47</v>
      </c>
      <c r="F89" t="n">
        <v>74</v>
      </c>
      <c r="G89" t="n">
        <v>39</v>
      </c>
      <c r="H89" t="n">
        <v>4</v>
      </c>
      <c r="I89" t="n">
        <v>17</v>
      </c>
      <c r="J89" t="inlineStr">
        <is>
          <t>Healthy</t>
        </is>
      </c>
      <c r="K89" t="n">
        <v>2</v>
      </c>
    </row>
    <row r="90">
      <c r="A90" t="inlineStr">
        <is>
          <t>INV00089</t>
        </is>
      </c>
      <c r="B90" t="inlineStr">
        <is>
          <t>OUT002</t>
        </is>
      </c>
      <c r="C90" t="inlineStr">
        <is>
          <t>BP039</t>
        </is>
      </c>
      <c r="D90" t="n">
        <v>150</v>
      </c>
      <c r="E90" t="n">
        <v>60</v>
      </c>
      <c r="F90" t="n">
        <v>56</v>
      </c>
      <c r="G90" t="n">
        <v>146</v>
      </c>
      <c r="H90" t="n">
        <v>8</v>
      </c>
      <c r="I90" t="n">
        <v>33</v>
      </c>
      <c r="J90" t="inlineStr">
        <is>
          <t>Healthy</t>
        </is>
      </c>
      <c r="K90" t="n">
        <v>2</v>
      </c>
    </row>
    <row r="91">
      <c r="A91" t="inlineStr">
        <is>
          <t>INV00090</t>
        </is>
      </c>
      <c r="B91" t="inlineStr">
        <is>
          <t>OUT002</t>
        </is>
      </c>
      <c r="C91" t="inlineStr">
        <is>
          <t>BP040</t>
        </is>
      </c>
      <c r="D91" t="n">
        <v>143</v>
      </c>
      <c r="E91" t="n">
        <v>82</v>
      </c>
      <c r="F91" t="n">
        <v>87</v>
      </c>
      <c r="G91" t="n">
        <v>131</v>
      </c>
      <c r="H91" t="n">
        <v>7</v>
      </c>
      <c r="I91" t="n">
        <v>19</v>
      </c>
      <c r="J91" t="inlineStr">
        <is>
          <t>Healthy</t>
        </is>
      </c>
      <c r="K91" t="n">
        <v>1</v>
      </c>
    </row>
    <row r="92">
      <c r="A92" t="inlineStr">
        <is>
          <t>INV00091</t>
        </is>
      </c>
      <c r="B92" t="inlineStr">
        <is>
          <t>OUT002</t>
        </is>
      </c>
      <c r="C92" t="inlineStr">
        <is>
          <t>BP041</t>
        </is>
      </c>
      <c r="D92" t="n">
        <v>123</v>
      </c>
      <c r="E92" t="n">
        <v>85</v>
      </c>
      <c r="F92" t="n">
        <v>50</v>
      </c>
      <c r="G92" t="n">
        <v>157</v>
      </c>
      <c r="H92" t="n">
        <v>1</v>
      </c>
      <c r="I92" t="n">
        <v>20</v>
      </c>
      <c r="J92" t="inlineStr">
        <is>
          <t>Healthy</t>
        </is>
      </c>
      <c r="K92" t="n">
        <v>3</v>
      </c>
    </row>
    <row r="93">
      <c r="A93" t="inlineStr">
        <is>
          <t>INV00092</t>
        </is>
      </c>
      <c r="B93" t="inlineStr">
        <is>
          <t>OUT002</t>
        </is>
      </c>
      <c r="C93" t="inlineStr">
        <is>
          <t>BP042</t>
        </is>
      </c>
      <c r="D93" t="n">
        <v>122</v>
      </c>
      <c r="E93" t="n">
        <v>75</v>
      </c>
      <c r="F93" t="n">
        <v>60</v>
      </c>
      <c r="G93" t="n">
        <v>134</v>
      </c>
      <c r="H93" t="n">
        <v>3</v>
      </c>
      <c r="I93" t="n">
        <v>35</v>
      </c>
      <c r="J93" t="inlineStr">
        <is>
          <t>Healthy</t>
        </is>
      </c>
      <c r="K93" t="n">
        <v>3</v>
      </c>
    </row>
    <row r="94">
      <c r="A94" t="inlineStr">
        <is>
          <t>INV00093</t>
        </is>
      </c>
      <c r="B94" t="inlineStr">
        <is>
          <t>OUT002</t>
        </is>
      </c>
      <c r="C94" t="inlineStr">
        <is>
          <t>BP043</t>
        </is>
      </c>
      <c r="D94" t="n">
        <v>85</v>
      </c>
      <c r="E94" t="n">
        <v>76</v>
      </c>
      <c r="F94" t="n">
        <v>73</v>
      </c>
      <c r="G94" t="n">
        <v>88</v>
      </c>
      <c r="H94" t="n">
        <v>0</v>
      </c>
      <c r="I94" t="n">
        <v>36</v>
      </c>
      <c r="J94" t="inlineStr">
        <is>
          <t>Healthy</t>
        </is>
      </c>
      <c r="K94" t="n">
        <v>4</v>
      </c>
    </row>
    <row r="95">
      <c r="A95" t="inlineStr">
        <is>
          <t>INV00094</t>
        </is>
      </c>
      <c r="B95" t="inlineStr">
        <is>
          <t>OUT002</t>
        </is>
      </c>
      <c r="C95" t="inlineStr">
        <is>
          <t>BP044</t>
        </is>
      </c>
      <c r="D95" t="n">
        <v>74</v>
      </c>
      <c r="E95" t="n">
        <v>65</v>
      </c>
      <c r="F95" t="n">
        <v>49</v>
      </c>
      <c r="G95" t="n">
        <v>89</v>
      </c>
      <c r="H95" t="n">
        <v>1</v>
      </c>
      <c r="I95" t="n">
        <v>34</v>
      </c>
      <c r="J95" t="inlineStr">
        <is>
          <t>Healthy</t>
        </is>
      </c>
      <c r="K95" t="n">
        <v>2</v>
      </c>
    </row>
    <row r="96">
      <c r="A96" t="inlineStr">
        <is>
          <t>INV00095</t>
        </is>
      </c>
      <c r="B96" t="inlineStr">
        <is>
          <t>OUT002</t>
        </is>
      </c>
      <c r="C96" t="inlineStr">
        <is>
          <t>BP045</t>
        </is>
      </c>
      <c r="D96" t="n">
        <v>58</v>
      </c>
      <c r="E96" t="n">
        <v>63</v>
      </c>
      <c r="F96" t="n">
        <v>67</v>
      </c>
      <c r="G96" t="n">
        <v>53</v>
      </c>
      <c r="H96" t="n">
        <v>1</v>
      </c>
      <c r="I96" t="n">
        <v>22</v>
      </c>
      <c r="J96" t="inlineStr">
        <is>
          <t>Healthy</t>
        </is>
      </c>
      <c r="K96" t="n">
        <v>1</v>
      </c>
    </row>
    <row r="97">
      <c r="A97" t="inlineStr">
        <is>
          <t>INV00096</t>
        </is>
      </c>
      <c r="B97" t="inlineStr">
        <is>
          <t>OUT002</t>
        </is>
      </c>
      <c r="C97" t="inlineStr">
        <is>
          <t>BP046</t>
        </is>
      </c>
      <c r="D97" t="n">
        <v>148</v>
      </c>
      <c r="E97" t="n">
        <v>24</v>
      </c>
      <c r="F97" t="n">
        <v>93</v>
      </c>
      <c r="G97" t="n">
        <v>77</v>
      </c>
      <c r="H97" t="n">
        <v>2</v>
      </c>
      <c r="I97" t="n">
        <v>32</v>
      </c>
      <c r="J97" t="inlineStr">
        <is>
          <t>Healthy</t>
        </is>
      </c>
      <c r="K97" t="n">
        <v>2</v>
      </c>
    </row>
    <row r="98">
      <c r="A98" t="inlineStr">
        <is>
          <t>INV00097</t>
        </is>
      </c>
      <c r="B98" t="inlineStr">
        <is>
          <t>OUT002</t>
        </is>
      </c>
      <c r="C98" t="inlineStr">
        <is>
          <t>BP047</t>
        </is>
      </c>
      <c r="D98" t="n">
        <v>135</v>
      </c>
      <c r="E98" t="n">
        <v>93</v>
      </c>
      <c r="F98" t="n">
        <v>65</v>
      </c>
      <c r="G98" t="n">
        <v>162</v>
      </c>
      <c r="H98" t="n">
        <v>1</v>
      </c>
      <c r="I98" t="n">
        <v>31</v>
      </c>
      <c r="J98" t="inlineStr">
        <is>
          <t>Healthy</t>
        </is>
      </c>
      <c r="K98" t="n">
        <v>1</v>
      </c>
    </row>
    <row r="99">
      <c r="A99" t="inlineStr">
        <is>
          <t>INV00098</t>
        </is>
      </c>
      <c r="B99" t="inlineStr">
        <is>
          <t>OUT002</t>
        </is>
      </c>
      <c r="C99" t="inlineStr">
        <is>
          <t>BP048</t>
        </is>
      </c>
      <c r="D99" t="n">
        <v>61</v>
      </c>
      <c r="E99" t="n">
        <v>26</v>
      </c>
      <c r="F99" t="n">
        <v>78</v>
      </c>
      <c r="G99" t="n">
        <v>6</v>
      </c>
      <c r="H99" t="n">
        <v>3</v>
      </c>
      <c r="I99" t="n">
        <v>35</v>
      </c>
      <c r="J99" t="inlineStr">
        <is>
          <t>Reorder Required</t>
        </is>
      </c>
      <c r="K99" t="n">
        <v>1</v>
      </c>
      <c r="L99" t="inlineStr">
        <is>
          <t>Restock immediately</t>
        </is>
      </c>
    </row>
    <row r="100">
      <c r="A100" t="inlineStr">
        <is>
          <t>INV00099</t>
        </is>
      </c>
      <c r="B100" t="inlineStr">
        <is>
          <t>OUT002</t>
        </is>
      </c>
      <c r="C100" t="inlineStr">
        <is>
          <t>BP049</t>
        </is>
      </c>
      <c r="D100" t="n">
        <v>128</v>
      </c>
      <c r="E100" t="n">
        <v>38</v>
      </c>
      <c r="F100" t="n">
        <v>99</v>
      </c>
      <c r="G100" t="n">
        <v>66</v>
      </c>
      <c r="H100" t="n">
        <v>1</v>
      </c>
      <c r="I100" t="n">
        <v>29</v>
      </c>
      <c r="J100" t="inlineStr">
        <is>
          <t>Healthy</t>
        </is>
      </c>
      <c r="K100" t="n">
        <v>2</v>
      </c>
    </row>
    <row r="101">
      <c r="A101" t="inlineStr">
        <is>
          <t>INV00100</t>
        </is>
      </c>
      <c r="B101" t="inlineStr">
        <is>
          <t>OUT002</t>
        </is>
      </c>
      <c r="C101" t="inlineStr">
        <is>
          <t>BP050</t>
        </is>
      </c>
      <c r="D101" t="n">
        <v>69</v>
      </c>
      <c r="E101" t="n">
        <v>24</v>
      </c>
      <c r="F101" t="n">
        <v>84</v>
      </c>
      <c r="G101" t="n">
        <v>6</v>
      </c>
      <c r="H101" t="n">
        <v>3</v>
      </c>
      <c r="I101" t="n">
        <v>19</v>
      </c>
      <c r="J101" t="inlineStr">
        <is>
          <t>Reorder Required</t>
        </is>
      </c>
      <c r="K101" t="n">
        <v>4</v>
      </c>
      <c r="L101" t="inlineStr">
        <is>
          <t>Restock immediately</t>
        </is>
      </c>
    </row>
    <row r="102">
      <c r="A102" t="inlineStr">
        <is>
          <t>INV00101</t>
        </is>
      </c>
      <c r="B102" t="inlineStr">
        <is>
          <t>OUT003</t>
        </is>
      </c>
      <c r="C102" t="inlineStr">
        <is>
          <t>BP001</t>
        </is>
      </c>
      <c r="D102" t="n">
        <v>104</v>
      </c>
      <c r="E102" t="n">
        <v>32</v>
      </c>
      <c r="F102" t="n">
        <v>129</v>
      </c>
      <c r="G102" t="n">
        <v>6</v>
      </c>
      <c r="H102" t="n">
        <v>1</v>
      </c>
      <c r="I102" t="n">
        <v>22</v>
      </c>
      <c r="J102" t="inlineStr">
        <is>
          <t>Reorder Required</t>
        </is>
      </c>
      <c r="K102" t="n">
        <v>5</v>
      </c>
      <c r="L102" t="inlineStr">
        <is>
          <t>Restock immediately</t>
        </is>
      </c>
    </row>
    <row r="103">
      <c r="A103" t="inlineStr">
        <is>
          <t>INV00102</t>
        </is>
      </c>
      <c r="B103" t="inlineStr">
        <is>
          <t>OUT003</t>
        </is>
      </c>
      <c r="C103" t="inlineStr">
        <is>
          <t>BP002</t>
        </is>
      </c>
      <c r="D103" t="n">
        <v>98</v>
      </c>
      <c r="E103" t="n">
        <v>26</v>
      </c>
      <c r="F103" t="n">
        <v>120</v>
      </c>
      <c r="G103" t="n">
        <v>3</v>
      </c>
      <c r="H103" t="n">
        <v>1</v>
      </c>
      <c r="I103" t="n">
        <v>15</v>
      </c>
      <c r="J103" t="inlineStr">
        <is>
          <t>Reorder Required</t>
        </is>
      </c>
      <c r="K103" t="n">
        <v>4</v>
      </c>
      <c r="L103" t="inlineStr">
        <is>
          <t>Restock immediately</t>
        </is>
      </c>
    </row>
    <row r="104">
      <c r="A104" t="inlineStr">
        <is>
          <t>INV00103</t>
        </is>
      </c>
      <c r="B104" t="inlineStr">
        <is>
          <t>OUT003</t>
        </is>
      </c>
      <c r="C104" t="inlineStr">
        <is>
          <t>BP003</t>
        </is>
      </c>
      <c r="D104" t="n">
        <v>83</v>
      </c>
      <c r="E104" t="n">
        <v>31</v>
      </c>
      <c r="F104" t="n">
        <v>136</v>
      </c>
      <c r="G104" t="n">
        <v>0</v>
      </c>
      <c r="H104" t="n">
        <v>3</v>
      </c>
      <c r="I104" t="n">
        <v>15</v>
      </c>
      <c r="J104" t="inlineStr">
        <is>
          <t>Reorder Required</t>
        </is>
      </c>
      <c r="K104" t="n">
        <v>5</v>
      </c>
      <c r="L104" t="inlineStr">
        <is>
          <t>Restock immediately</t>
        </is>
      </c>
    </row>
    <row r="105">
      <c r="A105" t="inlineStr">
        <is>
          <t>INV00104</t>
        </is>
      </c>
      <c r="B105" t="inlineStr">
        <is>
          <t>OUT003</t>
        </is>
      </c>
      <c r="C105" t="inlineStr">
        <is>
          <t>BP004</t>
        </is>
      </c>
      <c r="D105" t="n">
        <v>65</v>
      </c>
      <c r="E105" t="n">
        <v>49</v>
      </c>
      <c r="F105" t="n">
        <v>82</v>
      </c>
      <c r="G105" t="n">
        <v>30</v>
      </c>
      <c r="H105" t="n">
        <v>2</v>
      </c>
      <c r="I105" t="n">
        <v>17</v>
      </c>
      <c r="J105" t="inlineStr">
        <is>
          <t>Healthy</t>
        </is>
      </c>
      <c r="K105" t="n">
        <v>3</v>
      </c>
    </row>
    <row r="106">
      <c r="A106" t="inlineStr">
        <is>
          <t>INV00105</t>
        </is>
      </c>
      <c r="B106" t="inlineStr">
        <is>
          <t>OUT003</t>
        </is>
      </c>
      <c r="C106" t="inlineStr">
        <is>
          <t>BP005</t>
        </is>
      </c>
      <c r="D106" t="n">
        <v>71</v>
      </c>
      <c r="E106" t="n">
        <v>46</v>
      </c>
      <c r="F106" t="n">
        <v>124</v>
      </c>
      <c r="G106" t="n">
        <v>0</v>
      </c>
      <c r="H106" t="n">
        <v>0</v>
      </c>
      <c r="I106" t="n">
        <v>31</v>
      </c>
      <c r="J106" t="inlineStr">
        <is>
          <t>Reorder Required</t>
        </is>
      </c>
      <c r="K106" t="n">
        <v>1</v>
      </c>
      <c r="L106" t="inlineStr">
        <is>
          <t>Restock immediately</t>
        </is>
      </c>
    </row>
    <row r="107">
      <c r="A107" t="inlineStr">
        <is>
          <t>INV00106</t>
        </is>
      </c>
      <c r="B107" t="inlineStr">
        <is>
          <t>OUT003</t>
        </is>
      </c>
      <c r="C107" t="inlineStr">
        <is>
          <t>BP006</t>
        </is>
      </c>
      <c r="D107" t="n">
        <v>126</v>
      </c>
      <c r="E107" t="n">
        <v>42</v>
      </c>
      <c r="F107" t="n">
        <v>77</v>
      </c>
      <c r="G107" t="n">
        <v>91</v>
      </c>
      <c r="H107" t="n">
        <v>0</v>
      </c>
      <c r="I107" t="n">
        <v>28</v>
      </c>
      <c r="J107" t="inlineStr">
        <is>
          <t>Healthy</t>
        </is>
      </c>
      <c r="K107" t="n">
        <v>1</v>
      </c>
    </row>
    <row r="108">
      <c r="A108" t="inlineStr">
        <is>
          <t>INV00107</t>
        </is>
      </c>
      <c r="B108" t="inlineStr">
        <is>
          <t>OUT003</t>
        </is>
      </c>
      <c r="C108" t="inlineStr">
        <is>
          <t>BP007</t>
        </is>
      </c>
      <c r="D108" t="n">
        <v>76</v>
      </c>
      <c r="E108" t="n">
        <v>64</v>
      </c>
      <c r="F108" t="n">
        <v>101</v>
      </c>
      <c r="G108" t="n">
        <v>36</v>
      </c>
      <c r="H108" t="n">
        <v>3</v>
      </c>
      <c r="I108" t="n">
        <v>33</v>
      </c>
      <c r="J108" t="inlineStr">
        <is>
          <t>Healthy</t>
        </is>
      </c>
      <c r="K108" t="n">
        <v>2</v>
      </c>
    </row>
    <row r="109">
      <c r="A109" t="inlineStr">
        <is>
          <t>INV00108</t>
        </is>
      </c>
      <c r="B109" t="inlineStr">
        <is>
          <t>OUT003</t>
        </is>
      </c>
      <c r="C109" t="inlineStr">
        <is>
          <t>BP008</t>
        </is>
      </c>
      <c r="D109" t="n">
        <v>79</v>
      </c>
      <c r="E109" t="n">
        <v>59</v>
      </c>
      <c r="F109" t="n">
        <v>83</v>
      </c>
      <c r="G109" t="n">
        <v>55</v>
      </c>
      <c r="H109" t="n">
        <v>0</v>
      </c>
      <c r="I109" t="n">
        <v>21</v>
      </c>
      <c r="J109" t="inlineStr">
        <is>
          <t>Healthy</t>
        </is>
      </c>
      <c r="K109" t="n">
        <v>4</v>
      </c>
    </row>
    <row r="110">
      <c r="A110" t="inlineStr">
        <is>
          <t>INV00109</t>
        </is>
      </c>
      <c r="B110" t="inlineStr">
        <is>
          <t>OUT003</t>
        </is>
      </c>
      <c r="C110" t="inlineStr">
        <is>
          <t>BP009</t>
        </is>
      </c>
      <c r="D110" t="n">
        <v>88</v>
      </c>
      <c r="E110" t="n">
        <v>87</v>
      </c>
      <c r="F110" t="n">
        <v>115</v>
      </c>
      <c r="G110" t="n">
        <v>58</v>
      </c>
      <c r="H110" t="n">
        <v>2</v>
      </c>
      <c r="I110" t="n">
        <v>30</v>
      </c>
      <c r="J110" t="inlineStr">
        <is>
          <t>Healthy</t>
        </is>
      </c>
      <c r="K110" t="n">
        <v>5</v>
      </c>
    </row>
    <row r="111">
      <c r="A111" t="inlineStr">
        <is>
          <t>INV00110</t>
        </is>
      </c>
      <c r="B111" t="inlineStr">
        <is>
          <t>OUT003</t>
        </is>
      </c>
      <c r="C111" t="inlineStr">
        <is>
          <t>BP010</t>
        </is>
      </c>
      <c r="D111" t="n">
        <v>137</v>
      </c>
      <c r="E111" t="n">
        <v>50</v>
      </c>
      <c r="F111" t="n">
        <v>72</v>
      </c>
      <c r="G111" t="n">
        <v>115</v>
      </c>
      <c r="H111" t="n">
        <v>0</v>
      </c>
      <c r="I111" t="n">
        <v>18</v>
      </c>
      <c r="J111" t="inlineStr">
        <is>
          <t>Healthy</t>
        </is>
      </c>
      <c r="K111" t="n">
        <v>4</v>
      </c>
    </row>
    <row r="112">
      <c r="A112" t="inlineStr">
        <is>
          <t>INV00111</t>
        </is>
      </c>
      <c r="B112" t="inlineStr">
        <is>
          <t>OUT003</t>
        </is>
      </c>
      <c r="C112" t="inlineStr">
        <is>
          <t>BP011</t>
        </is>
      </c>
      <c r="D112" t="n">
        <v>146</v>
      </c>
      <c r="E112" t="n">
        <v>55</v>
      </c>
      <c r="F112" t="n">
        <v>95</v>
      </c>
      <c r="G112" t="n">
        <v>105</v>
      </c>
      <c r="H112" t="n">
        <v>1</v>
      </c>
      <c r="I112" t="n">
        <v>19</v>
      </c>
      <c r="J112" t="inlineStr">
        <is>
          <t>Healthy</t>
        </is>
      </c>
      <c r="K112" t="n">
        <v>5</v>
      </c>
    </row>
    <row r="113">
      <c r="A113" t="inlineStr">
        <is>
          <t>INV00112</t>
        </is>
      </c>
      <c r="B113" t="inlineStr">
        <is>
          <t>OUT003</t>
        </is>
      </c>
      <c r="C113" t="inlineStr">
        <is>
          <t>BP012</t>
        </is>
      </c>
      <c r="D113" t="n">
        <v>113</v>
      </c>
      <c r="E113" t="n">
        <v>100</v>
      </c>
      <c r="F113" t="n">
        <v>139</v>
      </c>
      <c r="G113" t="n">
        <v>71</v>
      </c>
      <c r="H113" t="n">
        <v>3</v>
      </c>
      <c r="I113" t="n">
        <v>20</v>
      </c>
      <c r="J113" t="inlineStr">
        <is>
          <t>Healthy</t>
        </is>
      </c>
      <c r="K113" t="n">
        <v>3</v>
      </c>
    </row>
    <row r="114">
      <c r="A114" t="inlineStr">
        <is>
          <t>INV00113</t>
        </is>
      </c>
      <c r="B114" t="inlineStr">
        <is>
          <t>OUT003</t>
        </is>
      </c>
      <c r="C114" t="inlineStr">
        <is>
          <t>BP013</t>
        </is>
      </c>
      <c r="D114" t="n">
        <v>41</v>
      </c>
      <c r="E114" t="n">
        <v>73</v>
      </c>
      <c r="F114" t="n">
        <v>61</v>
      </c>
      <c r="G114" t="n">
        <v>50</v>
      </c>
      <c r="H114" t="n">
        <v>3</v>
      </c>
      <c r="I114" t="n">
        <v>26</v>
      </c>
      <c r="J114" t="inlineStr">
        <is>
          <t>Healthy</t>
        </is>
      </c>
      <c r="K114" t="n">
        <v>4</v>
      </c>
    </row>
    <row r="115">
      <c r="A115" t="inlineStr">
        <is>
          <t>INV00114</t>
        </is>
      </c>
      <c r="B115" t="inlineStr">
        <is>
          <t>OUT003</t>
        </is>
      </c>
      <c r="C115" t="inlineStr">
        <is>
          <t>BP014</t>
        </is>
      </c>
      <c r="D115" t="n">
        <v>121</v>
      </c>
      <c r="E115" t="n">
        <v>78</v>
      </c>
      <c r="F115" t="n">
        <v>82</v>
      </c>
      <c r="G115" t="n">
        <v>115</v>
      </c>
      <c r="H115" t="n">
        <v>2</v>
      </c>
      <c r="I115" t="n">
        <v>18</v>
      </c>
      <c r="J115" t="inlineStr">
        <is>
          <t>Healthy</t>
        </is>
      </c>
      <c r="K115" t="n">
        <v>5</v>
      </c>
    </row>
    <row r="116">
      <c r="A116" t="inlineStr">
        <is>
          <t>INV00115</t>
        </is>
      </c>
      <c r="B116" t="inlineStr">
        <is>
          <t>OUT003</t>
        </is>
      </c>
      <c r="C116" t="inlineStr">
        <is>
          <t>BP015</t>
        </is>
      </c>
      <c r="D116" t="n">
        <v>132</v>
      </c>
      <c r="E116" t="n">
        <v>83</v>
      </c>
      <c r="F116" t="n">
        <v>105</v>
      </c>
      <c r="G116" t="n">
        <v>109</v>
      </c>
      <c r="H116" t="n">
        <v>1</v>
      </c>
      <c r="I116" t="n">
        <v>27</v>
      </c>
      <c r="J116" t="inlineStr">
        <is>
          <t>Healthy</t>
        </is>
      </c>
      <c r="K116" t="n">
        <v>4</v>
      </c>
    </row>
    <row r="117">
      <c r="A117" t="inlineStr">
        <is>
          <t>INV00116</t>
        </is>
      </c>
      <c r="B117" t="inlineStr">
        <is>
          <t>OUT003</t>
        </is>
      </c>
      <c r="C117" t="inlineStr">
        <is>
          <t>BP016</t>
        </is>
      </c>
      <c r="D117" t="n">
        <v>54</v>
      </c>
      <c r="E117" t="n">
        <v>42</v>
      </c>
      <c r="F117" t="n">
        <v>115</v>
      </c>
      <c r="G117" t="n">
        <v>0</v>
      </c>
      <c r="H117" t="n">
        <v>2</v>
      </c>
      <c r="I117" t="n">
        <v>37</v>
      </c>
      <c r="J117" t="inlineStr">
        <is>
          <t>Reorder Required</t>
        </is>
      </c>
      <c r="K117" t="n">
        <v>5</v>
      </c>
      <c r="L117" t="inlineStr">
        <is>
          <t>Restock immediately</t>
        </is>
      </c>
    </row>
    <row r="118">
      <c r="A118" t="inlineStr">
        <is>
          <t>INV00117</t>
        </is>
      </c>
      <c r="B118" t="inlineStr">
        <is>
          <t>OUT003</t>
        </is>
      </c>
      <c r="C118" t="inlineStr">
        <is>
          <t>BP017</t>
        </is>
      </c>
      <c r="D118" t="n">
        <v>62</v>
      </c>
      <c r="E118" t="n">
        <v>57</v>
      </c>
      <c r="F118" t="n">
        <v>31</v>
      </c>
      <c r="G118" t="n">
        <v>88</v>
      </c>
      <c r="H118" t="n">
        <v>0</v>
      </c>
      <c r="I118" t="n">
        <v>27</v>
      </c>
      <c r="J118" t="inlineStr">
        <is>
          <t>Healthy</t>
        </is>
      </c>
      <c r="K118" t="n">
        <v>5</v>
      </c>
    </row>
    <row r="119">
      <c r="A119" t="inlineStr">
        <is>
          <t>INV00118</t>
        </is>
      </c>
      <c r="B119" t="inlineStr">
        <is>
          <t>OUT003</t>
        </is>
      </c>
      <c r="C119" t="inlineStr">
        <is>
          <t>BP018</t>
        </is>
      </c>
      <c r="D119" t="n">
        <v>63</v>
      </c>
      <c r="E119" t="n">
        <v>100</v>
      </c>
      <c r="F119" t="n">
        <v>37</v>
      </c>
      <c r="G119" t="n">
        <v>126</v>
      </c>
      <c r="H119" t="n">
        <v>0</v>
      </c>
      <c r="I119" t="n">
        <v>39</v>
      </c>
      <c r="J119" t="inlineStr">
        <is>
          <t>Healthy</t>
        </is>
      </c>
      <c r="K119" t="n">
        <v>3</v>
      </c>
    </row>
    <row r="120">
      <c r="A120" t="inlineStr">
        <is>
          <t>INV00119</t>
        </is>
      </c>
      <c r="B120" t="inlineStr">
        <is>
          <t>OUT003</t>
        </is>
      </c>
      <c r="C120" t="inlineStr">
        <is>
          <t>BP019</t>
        </is>
      </c>
      <c r="D120" t="n">
        <v>138</v>
      </c>
      <c r="E120" t="n">
        <v>34</v>
      </c>
      <c r="F120" t="n">
        <v>86</v>
      </c>
      <c r="G120" t="n">
        <v>83</v>
      </c>
      <c r="H120" t="n">
        <v>3</v>
      </c>
      <c r="I120" t="n">
        <v>37</v>
      </c>
      <c r="J120" t="inlineStr">
        <is>
          <t>Healthy</t>
        </is>
      </c>
      <c r="K120" t="n">
        <v>1</v>
      </c>
    </row>
    <row r="121">
      <c r="A121" t="inlineStr">
        <is>
          <t>INV00120</t>
        </is>
      </c>
      <c r="B121" t="inlineStr">
        <is>
          <t>OUT003</t>
        </is>
      </c>
      <c r="C121" t="inlineStr">
        <is>
          <t>BP020</t>
        </is>
      </c>
      <c r="D121" t="n">
        <v>113</v>
      </c>
      <c r="E121" t="n">
        <v>78</v>
      </c>
      <c r="F121" t="n">
        <v>123</v>
      </c>
      <c r="G121" t="n">
        <v>67</v>
      </c>
      <c r="H121" t="n">
        <v>1</v>
      </c>
      <c r="I121" t="n">
        <v>35</v>
      </c>
      <c r="J121" t="inlineStr">
        <is>
          <t>Healthy</t>
        </is>
      </c>
      <c r="K121" t="n">
        <v>3</v>
      </c>
    </row>
    <row r="122">
      <c r="A122" t="inlineStr">
        <is>
          <t>INV00121</t>
        </is>
      </c>
      <c r="B122" t="inlineStr">
        <is>
          <t>OUT003</t>
        </is>
      </c>
      <c r="C122" t="inlineStr">
        <is>
          <t>BP021</t>
        </is>
      </c>
      <c r="D122" t="n">
        <v>113</v>
      </c>
      <c r="E122" t="n">
        <v>23</v>
      </c>
      <c r="F122" t="n">
        <v>101</v>
      </c>
      <c r="G122" t="n">
        <v>34</v>
      </c>
      <c r="H122" t="n">
        <v>1</v>
      </c>
      <c r="I122" t="n">
        <v>30</v>
      </c>
      <c r="J122" t="inlineStr">
        <is>
          <t>Healthy</t>
        </is>
      </c>
      <c r="K122" t="n">
        <v>2</v>
      </c>
    </row>
    <row r="123">
      <c r="A123" t="inlineStr">
        <is>
          <t>INV00122</t>
        </is>
      </c>
      <c r="B123" t="inlineStr">
        <is>
          <t>OUT003</t>
        </is>
      </c>
      <c r="C123" t="inlineStr">
        <is>
          <t>BP022</t>
        </is>
      </c>
      <c r="D123" t="n">
        <v>99</v>
      </c>
      <c r="E123" t="n">
        <v>99</v>
      </c>
      <c r="F123" t="n">
        <v>80</v>
      </c>
      <c r="G123" t="n">
        <v>116</v>
      </c>
      <c r="H123" t="n">
        <v>2</v>
      </c>
      <c r="I123" t="n">
        <v>23</v>
      </c>
      <c r="J123" t="inlineStr">
        <is>
          <t>Healthy</t>
        </is>
      </c>
      <c r="K123" t="n">
        <v>1</v>
      </c>
    </row>
    <row r="124">
      <c r="A124" t="inlineStr">
        <is>
          <t>INV00123</t>
        </is>
      </c>
      <c r="B124" t="inlineStr">
        <is>
          <t>OUT003</t>
        </is>
      </c>
      <c r="C124" t="inlineStr">
        <is>
          <t>BP023</t>
        </is>
      </c>
      <c r="D124" t="n">
        <v>45</v>
      </c>
      <c r="E124" t="n">
        <v>44</v>
      </c>
      <c r="F124" t="n">
        <v>34</v>
      </c>
      <c r="G124" t="n">
        <v>52</v>
      </c>
      <c r="H124" t="n">
        <v>3</v>
      </c>
      <c r="I124" t="n">
        <v>39</v>
      </c>
      <c r="J124" t="inlineStr">
        <is>
          <t>Healthy</t>
        </is>
      </c>
      <c r="K124" t="n">
        <v>1</v>
      </c>
    </row>
    <row r="125">
      <c r="A125" t="inlineStr">
        <is>
          <t>INV00124</t>
        </is>
      </c>
      <c r="B125" t="inlineStr">
        <is>
          <t>OUT003</t>
        </is>
      </c>
      <c r="C125" t="inlineStr">
        <is>
          <t>BP024</t>
        </is>
      </c>
      <c r="D125" t="n">
        <v>140</v>
      </c>
      <c r="E125" t="n">
        <v>68</v>
      </c>
      <c r="F125" t="n">
        <v>76</v>
      </c>
      <c r="G125" t="n">
        <v>132</v>
      </c>
      <c r="H125" t="n">
        <v>0</v>
      </c>
      <c r="I125" t="n">
        <v>37</v>
      </c>
      <c r="J125" t="inlineStr">
        <is>
          <t>Healthy</t>
        </is>
      </c>
      <c r="K125" t="n">
        <v>2</v>
      </c>
    </row>
    <row r="126">
      <c r="A126" t="inlineStr">
        <is>
          <t>INV00125</t>
        </is>
      </c>
      <c r="B126" t="inlineStr">
        <is>
          <t>OUT003</t>
        </is>
      </c>
      <c r="C126" t="inlineStr">
        <is>
          <t>BP025</t>
        </is>
      </c>
      <c r="D126" t="n">
        <v>145</v>
      </c>
      <c r="E126" t="n">
        <v>26</v>
      </c>
      <c r="F126" t="n">
        <v>52</v>
      </c>
      <c r="G126" t="n">
        <v>116</v>
      </c>
      <c r="H126" t="n">
        <v>3</v>
      </c>
      <c r="I126" t="n">
        <v>15</v>
      </c>
      <c r="J126" t="inlineStr">
        <is>
          <t>Healthy</t>
        </is>
      </c>
      <c r="K126" t="n">
        <v>2</v>
      </c>
    </row>
    <row r="127">
      <c r="A127" t="inlineStr">
        <is>
          <t>INV00126</t>
        </is>
      </c>
      <c r="B127" t="inlineStr">
        <is>
          <t>OUT003</t>
        </is>
      </c>
      <c r="C127" t="inlineStr">
        <is>
          <t>BP026</t>
        </is>
      </c>
      <c r="D127" t="n">
        <v>97</v>
      </c>
      <c r="E127" t="n">
        <v>49</v>
      </c>
      <c r="F127" t="n">
        <v>94</v>
      </c>
      <c r="G127" t="n">
        <v>51</v>
      </c>
      <c r="H127" t="n">
        <v>1</v>
      </c>
      <c r="I127" t="n">
        <v>21</v>
      </c>
      <c r="J127" t="inlineStr">
        <is>
          <t>Healthy</t>
        </is>
      </c>
      <c r="K127" t="n">
        <v>1</v>
      </c>
    </row>
    <row r="128">
      <c r="A128" t="inlineStr">
        <is>
          <t>INV00127</t>
        </is>
      </c>
      <c r="B128" t="inlineStr">
        <is>
          <t>OUT003</t>
        </is>
      </c>
      <c r="C128" t="inlineStr">
        <is>
          <t>BP027</t>
        </is>
      </c>
      <c r="D128" t="n">
        <v>128</v>
      </c>
      <c r="E128" t="n">
        <v>91</v>
      </c>
      <c r="F128" t="n">
        <v>66</v>
      </c>
      <c r="G128" t="n">
        <v>151</v>
      </c>
      <c r="H128" t="n">
        <v>2</v>
      </c>
      <c r="I128" t="n">
        <v>30</v>
      </c>
      <c r="J128" t="inlineStr">
        <is>
          <t>Healthy</t>
        </is>
      </c>
      <c r="K128" t="n">
        <v>2</v>
      </c>
    </row>
    <row r="129">
      <c r="A129" t="inlineStr">
        <is>
          <t>INV00128</t>
        </is>
      </c>
      <c r="B129" t="inlineStr">
        <is>
          <t>OUT003</t>
        </is>
      </c>
      <c r="C129" t="inlineStr">
        <is>
          <t>BP028</t>
        </is>
      </c>
      <c r="D129" t="n">
        <v>135</v>
      </c>
      <c r="E129" t="n">
        <v>44</v>
      </c>
      <c r="F129" t="n">
        <v>123</v>
      </c>
      <c r="G129" t="n">
        <v>55</v>
      </c>
      <c r="H129" t="n">
        <v>1</v>
      </c>
      <c r="I129" t="n">
        <v>20</v>
      </c>
      <c r="J129" t="inlineStr">
        <is>
          <t>Healthy</t>
        </is>
      </c>
      <c r="K129" t="n">
        <v>2</v>
      </c>
    </row>
    <row r="130">
      <c r="A130" t="inlineStr">
        <is>
          <t>INV00129</t>
        </is>
      </c>
      <c r="B130" t="inlineStr">
        <is>
          <t>OUT003</t>
        </is>
      </c>
      <c r="C130" t="inlineStr">
        <is>
          <t>BP029</t>
        </is>
      </c>
      <c r="D130" t="n">
        <v>93</v>
      </c>
      <c r="E130" t="n">
        <v>28</v>
      </c>
      <c r="F130" t="n">
        <v>46</v>
      </c>
      <c r="G130" t="n">
        <v>72</v>
      </c>
      <c r="H130" t="n">
        <v>3</v>
      </c>
      <c r="I130" t="n">
        <v>39</v>
      </c>
      <c r="J130" t="inlineStr">
        <is>
          <t>Healthy</t>
        </is>
      </c>
      <c r="K130" t="n">
        <v>5</v>
      </c>
    </row>
    <row r="131">
      <c r="A131" t="inlineStr">
        <is>
          <t>INV00130</t>
        </is>
      </c>
      <c r="B131" t="inlineStr">
        <is>
          <t>OUT003</t>
        </is>
      </c>
      <c r="C131" t="inlineStr">
        <is>
          <t>BP030</t>
        </is>
      </c>
      <c r="D131" t="n">
        <v>141</v>
      </c>
      <c r="E131" t="n">
        <v>61</v>
      </c>
      <c r="F131" t="n">
        <v>82</v>
      </c>
      <c r="G131" t="n">
        <v>112</v>
      </c>
      <c r="H131" t="n">
        <v>8</v>
      </c>
      <c r="I131" t="n">
        <v>39</v>
      </c>
      <c r="J131" t="inlineStr">
        <is>
          <t>Healthy</t>
        </is>
      </c>
      <c r="K131" t="n">
        <v>4</v>
      </c>
    </row>
    <row r="132">
      <c r="A132" t="inlineStr">
        <is>
          <t>INV00131</t>
        </is>
      </c>
      <c r="B132" t="inlineStr">
        <is>
          <t>OUT003</t>
        </is>
      </c>
      <c r="C132" t="inlineStr">
        <is>
          <t>BP031</t>
        </is>
      </c>
      <c r="D132" t="n">
        <v>110</v>
      </c>
      <c r="E132" t="n">
        <v>97</v>
      </c>
      <c r="F132" t="n">
        <v>123</v>
      </c>
      <c r="G132" t="n">
        <v>79</v>
      </c>
      <c r="H132" t="n">
        <v>5</v>
      </c>
      <c r="I132" t="n">
        <v>31</v>
      </c>
      <c r="J132" t="inlineStr">
        <is>
          <t>Healthy</t>
        </is>
      </c>
      <c r="K132" t="n">
        <v>3</v>
      </c>
    </row>
    <row r="133">
      <c r="A133" t="inlineStr">
        <is>
          <t>INV00132</t>
        </is>
      </c>
      <c r="B133" t="inlineStr">
        <is>
          <t>OUT003</t>
        </is>
      </c>
      <c r="C133" t="inlineStr">
        <is>
          <t>BP032</t>
        </is>
      </c>
      <c r="D133" t="n">
        <v>120</v>
      </c>
      <c r="E133" t="n">
        <v>61</v>
      </c>
      <c r="F133" t="n">
        <v>138</v>
      </c>
      <c r="G133" t="n">
        <v>38</v>
      </c>
      <c r="H133" t="n">
        <v>5</v>
      </c>
      <c r="I133" t="n">
        <v>32</v>
      </c>
      <c r="J133" t="inlineStr">
        <is>
          <t>Healthy</t>
        </is>
      </c>
      <c r="K133" t="n">
        <v>1</v>
      </c>
    </row>
    <row r="134">
      <c r="A134" t="inlineStr">
        <is>
          <t>INV00133</t>
        </is>
      </c>
      <c r="B134" t="inlineStr">
        <is>
          <t>OUT003</t>
        </is>
      </c>
      <c r="C134" t="inlineStr">
        <is>
          <t>BP033</t>
        </is>
      </c>
      <c r="D134" t="n">
        <v>135</v>
      </c>
      <c r="E134" t="n">
        <v>55</v>
      </c>
      <c r="F134" t="n">
        <v>47</v>
      </c>
      <c r="G134" t="n">
        <v>135</v>
      </c>
      <c r="H134" t="n">
        <v>8</v>
      </c>
      <c r="I134" t="n">
        <v>17</v>
      </c>
      <c r="J134" t="inlineStr">
        <is>
          <t>Healthy</t>
        </is>
      </c>
      <c r="K134" t="n">
        <v>3</v>
      </c>
    </row>
    <row r="135">
      <c r="A135" t="inlineStr">
        <is>
          <t>INV00134</t>
        </is>
      </c>
      <c r="B135" t="inlineStr">
        <is>
          <t>OUT003</t>
        </is>
      </c>
      <c r="C135" t="inlineStr">
        <is>
          <t>BP034</t>
        </is>
      </c>
      <c r="D135" t="n">
        <v>77</v>
      </c>
      <c r="E135" t="n">
        <v>22</v>
      </c>
      <c r="F135" t="n">
        <v>37</v>
      </c>
      <c r="G135" t="n">
        <v>56</v>
      </c>
      <c r="H135" t="n">
        <v>6</v>
      </c>
      <c r="I135" t="n">
        <v>30</v>
      </c>
      <c r="J135" t="inlineStr">
        <is>
          <t>Healthy</t>
        </is>
      </c>
      <c r="K135" t="n">
        <v>2</v>
      </c>
    </row>
    <row r="136">
      <c r="A136" t="inlineStr">
        <is>
          <t>INV00135</t>
        </is>
      </c>
      <c r="B136" t="inlineStr">
        <is>
          <t>OUT003</t>
        </is>
      </c>
      <c r="C136" t="inlineStr">
        <is>
          <t>BP035</t>
        </is>
      </c>
      <c r="D136" t="n">
        <v>143</v>
      </c>
      <c r="E136" t="n">
        <v>73</v>
      </c>
      <c r="F136" t="n">
        <v>111</v>
      </c>
      <c r="G136" t="n">
        <v>99</v>
      </c>
      <c r="H136" t="n">
        <v>6</v>
      </c>
      <c r="I136" t="n">
        <v>39</v>
      </c>
      <c r="J136" t="inlineStr">
        <is>
          <t>Healthy</t>
        </is>
      </c>
      <c r="K136" t="n">
        <v>3</v>
      </c>
    </row>
    <row r="137">
      <c r="A137" t="inlineStr">
        <is>
          <t>INV00136</t>
        </is>
      </c>
      <c r="B137" t="inlineStr">
        <is>
          <t>OUT003</t>
        </is>
      </c>
      <c r="C137" t="inlineStr">
        <is>
          <t>BP036</t>
        </is>
      </c>
      <c r="D137" t="n">
        <v>53</v>
      </c>
      <c r="E137" t="n">
        <v>68</v>
      </c>
      <c r="F137" t="n">
        <v>50</v>
      </c>
      <c r="G137" t="n">
        <v>67</v>
      </c>
      <c r="H137" t="n">
        <v>4</v>
      </c>
      <c r="I137" t="n">
        <v>34</v>
      </c>
      <c r="J137" t="inlineStr">
        <is>
          <t>Healthy</t>
        </is>
      </c>
      <c r="K137" t="n">
        <v>5</v>
      </c>
    </row>
    <row r="138">
      <c r="A138" t="inlineStr">
        <is>
          <t>INV00137</t>
        </is>
      </c>
      <c r="B138" t="inlineStr">
        <is>
          <t>OUT003</t>
        </is>
      </c>
      <c r="C138" t="inlineStr">
        <is>
          <t>BP037</t>
        </is>
      </c>
      <c r="D138" t="n">
        <v>63</v>
      </c>
      <c r="E138" t="n">
        <v>76</v>
      </c>
      <c r="F138" t="n">
        <v>105</v>
      </c>
      <c r="G138" t="n">
        <v>31</v>
      </c>
      <c r="H138" t="n">
        <v>3</v>
      </c>
      <c r="I138" t="n">
        <v>16</v>
      </c>
      <c r="J138" t="inlineStr">
        <is>
          <t>Healthy</t>
        </is>
      </c>
      <c r="K138" t="n">
        <v>1</v>
      </c>
    </row>
    <row r="139">
      <c r="A139" t="inlineStr">
        <is>
          <t>INV00138</t>
        </is>
      </c>
      <c r="B139" t="inlineStr">
        <is>
          <t>OUT003</t>
        </is>
      </c>
      <c r="C139" t="inlineStr">
        <is>
          <t>BP038</t>
        </is>
      </c>
      <c r="D139" t="n">
        <v>146</v>
      </c>
      <c r="E139" t="n">
        <v>24</v>
      </c>
      <c r="F139" t="n">
        <v>98</v>
      </c>
      <c r="G139" t="n">
        <v>68</v>
      </c>
      <c r="H139" t="n">
        <v>4</v>
      </c>
      <c r="I139" t="n">
        <v>40</v>
      </c>
      <c r="J139" t="inlineStr">
        <is>
          <t>Healthy</t>
        </is>
      </c>
      <c r="K139" t="n">
        <v>3</v>
      </c>
    </row>
    <row r="140">
      <c r="A140" t="inlineStr">
        <is>
          <t>INV00139</t>
        </is>
      </c>
      <c r="B140" t="inlineStr">
        <is>
          <t>OUT003</t>
        </is>
      </c>
      <c r="C140" t="inlineStr">
        <is>
          <t>BP039</t>
        </is>
      </c>
      <c r="D140" t="n">
        <v>101</v>
      </c>
      <c r="E140" t="n">
        <v>58</v>
      </c>
      <c r="F140" t="n">
        <v>100</v>
      </c>
      <c r="G140" t="n">
        <v>53</v>
      </c>
      <c r="H140" t="n">
        <v>6</v>
      </c>
      <c r="I140" t="n">
        <v>15</v>
      </c>
      <c r="J140" t="inlineStr">
        <is>
          <t>Healthy</t>
        </is>
      </c>
      <c r="K140" t="n">
        <v>2</v>
      </c>
    </row>
    <row r="141">
      <c r="A141" t="inlineStr">
        <is>
          <t>INV00140</t>
        </is>
      </c>
      <c r="B141" t="inlineStr">
        <is>
          <t>OUT003</t>
        </is>
      </c>
      <c r="C141" t="inlineStr">
        <is>
          <t>BP040</t>
        </is>
      </c>
      <c r="D141" t="n">
        <v>47</v>
      </c>
      <c r="E141" t="n">
        <v>42</v>
      </c>
      <c r="F141" t="n">
        <v>96</v>
      </c>
      <c r="G141" t="n">
        <v>0</v>
      </c>
      <c r="H141" t="n">
        <v>4</v>
      </c>
      <c r="I141" t="n">
        <v>40</v>
      </c>
      <c r="J141" t="inlineStr">
        <is>
          <t>Reorder Required</t>
        </is>
      </c>
      <c r="K141" t="n">
        <v>4</v>
      </c>
      <c r="L141" t="inlineStr">
        <is>
          <t>Restock immediately</t>
        </is>
      </c>
    </row>
    <row r="142">
      <c r="A142" t="inlineStr">
        <is>
          <t>INV00141</t>
        </is>
      </c>
      <c r="B142" t="inlineStr">
        <is>
          <t>OUT003</t>
        </is>
      </c>
      <c r="C142" t="inlineStr">
        <is>
          <t>BP041</t>
        </is>
      </c>
      <c r="D142" t="n">
        <v>70</v>
      </c>
      <c r="E142" t="n">
        <v>36</v>
      </c>
      <c r="F142" t="n">
        <v>82</v>
      </c>
      <c r="G142" t="n">
        <v>23</v>
      </c>
      <c r="H142" t="n">
        <v>1</v>
      </c>
      <c r="I142" t="n">
        <v>32</v>
      </c>
      <c r="J142" t="inlineStr">
        <is>
          <t>Reorder Required</t>
        </is>
      </c>
      <c r="K142" t="n">
        <v>2</v>
      </c>
      <c r="L142" t="inlineStr">
        <is>
          <t>Restock immediately</t>
        </is>
      </c>
    </row>
    <row r="143">
      <c r="A143" t="inlineStr">
        <is>
          <t>INV00142</t>
        </is>
      </c>
      <c r="B143" t="inlineStr">
        <is>
          <t>OUT003</t>
        </is>
      </c>
      <c r="C143" t="inlineStr">
        <is>
          <t>BP042</t>
        </is>
      </c>
      <c r="D143" t="n">
        <v>76</v>
      </c>
      <c r="E143" t="n">
        <v>38</v>
      </c>
      <c r="F143" t="n">
        <v>117</v>
      </c>
      <c r="G143" t="n">
        <v>0</v>
      </c>
      <c r="H143" t="n">
        <v>0</v>
      </c>
      <c r="I143" t="n">
        <v>26</v>
      </c>
      <c r="J143" t="inlineStr">
        <is>
          <t>Reorder Required</t>
        </is>
      </c>
      <c r="K143" t="n">
        <v>3</v>
      </c>
      <c r="L143" t="inlineStr">
        <is>
          <t>Restock immediately</t>
        </is>
      </c>
    </row>
    <row r="144">
      <c r="A144" t="inlineStr">
        <is>
          <t>INV00143</t>
        </is>
      </c>
      <c r="B144" t="inlineStr">
        <is>
          <t>OUT003</t>
        </is>
      </c>
      <c r="C144" t="inlineStr">
        <is>
          <t>BP043</t>
        </is>
      </c>
      <c r="D144" t="n">
        <v>125</v>
      </c>
      <c r="E144" t="n">
        <v>30</v>
      </c>
      <c r="F144" t="n">
        <v>43</v>
      </c>
      <c r="G144" t="n">
        <v>110</v>
      </c>
      <c r="H144" t="n">
        <v>2</v>
      </c>
      <c r="I144" t="n">
        <v>22</v>
      </c>
      <c r="J144" t="inlineStr">
        <is>
          <t>Healthy</t>
        </is>
      </c>
      <c r="K144" t="n">
        <v>5</v>
      </c>
    </row>
    <row r="145">
      <c r="A145" t="inlineStr">
        <is>
          <t>INV00144</t>
        </is>
      </c>
      <c r="B145" t="inlineStr">
        <is>
          <t>OUT003</t>
        </is>
      </c>
      <c r="C145" t="inlineStr">
        <is>
          <t>BP044</t>
        </is>
      </c>
      <c r="D145" t="n">
        <v>73</v>
      </c>
      <c r="E145" t="n">
        <v>55</v>
      </c>
      <c r="F145" t="n">
        <v>129</v>
      </c>
      <c r="G145" t="n">
        <v>0</v>
      </c>
      <c r="H145" t="n">
        <v>3</v>
      </c>
      <c r="I145" t="n">
        <v>23</v>
      </c>
      <c r="J145" t="inlineStr">
        <is>
          <t>Reorder Required</t>
        </is>
      </c>
      <c r="K145" t="n">
        <v>1</v>
      </c>
      <c r="L145" t="inlineStr">
        <is>
          <t>Restock immediately</t>
        </is>
      </c>
    </row>
    <row r="146">
      <c r="A146" t="inlineStr">
        <is>
          <t>INV00145</t>
        </is>
      </c>
      <c r="B146" t="inlineStr">
        <is>
          <t>OUT003</t>
        </is>
      </c>
      <c r="C146" t="inlineStr">
        <is>
          <t>BP045</t>
        </is>
      </c>
      <c r="D146" t="n">
        <v>91</v>
      </c>
      <c r="E146" t="n">
        <v>39</v>
      </c>
      <c r="F146" t="n">
        <v>72</v>
      </c>
      <c r="G146" t="n">
        <v>57</v>
      </c>
      <c r="H146" t="n">
        <v>1</v>
      </c>
      <c r="I146" t="n">
        <v>38</v>
      </c>
      <c r="J146" t="inlineStr">
        <is>
          <t>Healthy</t>
        </is>
      </c>
      <c r="K146" t="n">
        <v>5</v>
      </c>
    </row>
    <row r="147">
      <c r="A147" t="inlineStr">
        <is>
          <t>INV00146</t>
        </is>
      </c>
      <c r="B147" t="inlineStr">
        <is>
          <t>OUT003</t>
        </is>
      </c>
      <c r="C147" t="inlineStr">
        <is>
          <t>BP046</t>
        </is>
      </c>
      <c r="D147" t="n">
        <v>118</v>
      </c>
      <c r="E147" t="n">
        <v>68</v>
      </c>
      <c r="F147" t="n">
        <v>67</v>
      </c>
      <c r="G147" t="n">
        <v>118</v>
      </c>
      <c r="H147" t="n">
        <v>1</v>
      </c>
      <c r="I147" t="n">
        <v>25</v>
      </c>
      <c r="J147" t="inlineStr">
        <is>
          <t>Healthy</t>
        </is>
      </c>
      <c r="K147" t="n">
        <v>1</v>
      </c>
    </row>
    <row r="148">
      <c r="A148" t="inlineStr">
        <is>
          <t>INV00147</t>
        </is>
      </c>
      <c r="B148" t="inlineStr">
        <is>
          <t>OUT003</t>
        </is>
      </c>
      <c r="C148" t="inlineStr">
        <is>
          <t>BP047</t>
        </is>
      </c>
      <c r="D148" t="n">
        <v>85</v>
      </c>
      <c r="E148" t="n">
        <v>20</v>
      </c>
      <c r="F148" t="n">
        <v>137</v>
      </c>
      <c r="G148" t="n">
        <v>0</v>
      </c>
      <c r="H148" t="n">
        <v>0</v>
      </c>
      <c r="I148" t="n">
        <v>18</v>
      </c>
      <c r="J148" t="inlineStr">
        <is>
          <t>Reorder Required</t>
        </is>
      </c>
      <c r="K148" t="n">
        <v>3</v>
      </c>
      <c r="L148" t="inlineStr">
        <is>
          <t>Restock immediately</t>
        </is>
      </c>
    </row>
    <row r="149">
      <c r="A149" t="inlineStr">
        <is>
          <t>INV00148</t>
        </is>
      </c>
      <c r="B149" t="inlineStr">
        <is>
          <t>OUT003</t>
        </is>
      </c>
      <c r="C149" t="inlineStr">
        <is>
          <t>BP048</t>
        </is>
      </c>
      <c r="D149" t="n">
        <v>143</v>
      </c>
      <c r="E149" t="n">
        <v>42</v>
      </c>
      <c r="F149" t="n">
        <v>68</v>
      </c>
      <c r="G149" t="n">
        <v>116</v>
      </c>
      <c r="H149" t="n">
        <v>1</v>
      </c>
      <c r="I149" t="n">
        <v>31</v>
      </c>
      <c r="J149" t="inlineStr">
        <is>
          <t>Healthy</t>
        </is>
      </c>
      <c r="K149" t="n">
        <v>5</v>
      </c>
    </row>
    <row r="150">
      <c r="A150" t="inlineStr">
        <is>
          <t>INV00149</t>
        </is>
      </c>
      <c r="B150" t="inlineStr">
        <is>
          <t>OUT003</t>
        </is>
      </c>
      <c r="C150" t="inlineStr">
        <is>
          <t>BP049</t>
        </is>
      </c>
      <c r="D150" t="n">
        <v>114</v>
      </c>
      <c r="E150" t="n">
        <v>71</v>
      </c>
      <c r="F150" t="n">
        <v>74</v>
      </c>
      <c r="G150" t="n">
        <v>110</v>
      </c>
      <c r="H150" t="n">
        <v>1</v>
      </c>
      <c r="I150" t="n">
        <v>40</v>
      </c>
      <c r="J150" t="inlineStr">
        <is>
          <t>Healthy</t>
        </is>
      </c>
      <c r="K150" t="n">
        <v>4</v>
      </c>
    </row>
    <row r="151">
      <c r="A151" t="inlineStr">
        <is>
          <t>INV00150</t>
        </is>
      </c>
      <c r="B151" t="inlineStr">
        <is>
          <t>OUT003</t>
        </is>
      </c>
      <c r="C151" t="inlineStr">
        <is>
          <t>BP050</t>
        </is>
      </c>
      <c r="D151" t="n">
        <v>97</v>
      </c>
      <c r="E151" t="n">
        <v>39</v>
      </c>
      <c r="F151" t="n">
        <v>58</v>
      </c>
      <c r="G151" t="n">
        <v>76</v>
      </c>
      <c r="H151" t="n">
        <v>2</v>
      </c>
      <c r="I151" t="n">
        <v>22</v>
      </c>
      <c r="J151" t="inlineStr">
        <is>
          <t>Healthy</t>
        </is>
      </c>
      <c r="K151" t="n">
        <v>1</v>
      </c>
    </row>
    <row r="152">
      <c r="A152" t="inlineStr">
        <is>
          <t>INV00151</t>
        </is>
      </c>
      <c r="B152" t="inlineStr">
        <is>
          <t>OUT004</t>
        </is>
      </c>
      <c r="C152" t="inlineStr">
        <is>
          <t>BP001</t>
        </is>
      </c>
      <c r="D152" t="n">
        <v>141</v>
      </c>
      <c r="E152" t="n">
        <v>83</v>
      </c>
      <c r="F152" t="n">
        <v>67</v>
      </c>
      <c r="G152" t="n">
        <v>154</v>
      </c>
      <c r="H152" t="n">
        <v>3</v>
      </c>
      <c r="I152" t="n">
        <v>36</v>
      </c>
      <c r="J152" t="inlineStr">
        <is>
          <t>Healthy</t>
        </is>
      </c>
      <c r="K152" t="n">
        <v>2</v>
      </c>
    </row>
    <row r="153">
      <c r="A153" t="inlineStr">
        <is>
          <t>INV00152</t>
        </is>
      </c>
      <c r="B153" t="inlineStr">
        <is>
          <t>OUT004</t>
        </is>
      </c>
      <c r="C153" t="inlineStr">
        <is>
          <t>BP002</t>
        </is>
      </c>
      <c r="D153" t="n">
        <v>108</v>
      </c>
      <c r="E153" t="n">
        <v>93</v>
      </c>
      <c r="F153" t="n">
        <v>52</v>
      </c>
      <c r="G153" t="n">
        <v>148</v>
      </c>
      <c r="H153" t="n">
        <v>1</v>
      </c>
      <c r="I153" t="n">
        <v>37</v>
      </c>
      <c r="J153" t="inlineStr">
        <is>
          <t>Healthy</t>
        </is>
      </c>
      <c r="K153" t="n">
        <v>3</v>
      </c>
    </row>
    <row r="154">
      <c r="A154" t="inlineStr">
        <is>
          <t>INV00153</t>
        </is>
      </c>
      <c r="B154" t="inlineStr">
        <is>
          <t>OUT004</t>
        </is>
      </c>
      <c r="C154" t="inlineStr">
        <is>
          <t>BP003</t>
        </is>
      </c>
      <c r="D154" t="n">
        <v>59</v>
      </c>
      <c r="E154" t="n">
        <v>71</v>
      </c>
      <c r="F154" t="n">
        <v>136</v>
      </c>
      <c r="G154" t="n">
        <v>0</v>
      </c>
      <c r="H154" t="n">
        <v>1</v>
      </c>
      <c r="I154" t="n">
        <v>25</v>
      </c>
      <c r="J154" t="inlineStr">
        <is>
          <t>Reorder Required</t>
        </is>
      </c>
      <c r="K154" t="n">
        <v>2</v>
      </c>
      <c r="L154" t="inlineStr">
        <is>
          <t>Restock immediately</t>
        </is>
      </c>
    </row>
    <row r="155">
      <c r="A155" t="inlineStr">
        <is>
          <t>INV00154</t>
        </is>
      </c>
      <c r="B155" t="inlineStr">
        <is>
          <t>OUT004</t>
        </is>
      </c>
      <c r="C155" t="inlineStr">
        <is>
          <t>BP004</t>
        </is>
      </c>
      <c r="D155" t="n">
        <v>94</v>
      </c>
      <c r="E155" t="n">
        <v>99</v>
      </c>
      <c r="F155" t="n">
        <v>109</v>
      </c>
      <c r="G155" t="n">
        <v>82</v>
      </c>
      <c r="H155" t="n">
        <v>2</v>
      </c>
      <c r="I155" t="n">
        <v>19</v>
      </c>
      <c r="J155" t="inlineStr">
        <is>
          <t>Healthy</t>
        </is>
      </c>
      <c r="K155" t="n">
        <v>5</v>
      </c>
    </row>
    <row r="156">
      <c r="A156" t="inlineStr">
        <is>
          <t>INV00155</t>
        </is>
      </c>
      <c r="B156" t="inlineStr">
        <is>
          <t>OUT004</t>
        </is>
      </c>
      <c r="C156" t="inlineStr">
        <is>
          <t>BP005</t>
        </is>
      </c>
      <c r="D156" t="n">
        <v>103</v>
      </c>
      <c r="E156" t="n">
        <v>53</v>
      </c>
      <c r="F156" t="n">
        <v>89</v>
      </c>
      <c r="G156" t="n">
        <v>66</v>
      </c>
      <c r="H156" t="n">
        <v>1</v>
      </c>
      <c r="I156" t="n">
        <v>29</v>
      </c>
      <c r="J156" t="inlineStr">
        <is>
          <t>Healthy</t>
        </is>
      </c>
      <c r="K156" t="n">
        <v>5</v>
      </c>
    </row>
    <row r="157">
      <c r="A157" t="inlineStr">
        <is>
          <t>INV00156</t>
        </is>
      </c>
      <c r="B157" t="inlineStr">
        <is>
          <t>OUT004</t>
        </is>
      </c>
      <c r="C157" t="inlineStr">
        <is>
          <t>BP006</t>
        </is>
      </c>
      <c r="D157" t="n">
        <v>71</v>
      </c>
      <c r="E157" t="n">
        <v>24</v>
      </c>
      <c r="F157" t="n">
        <v>111</v>
      </c>
      <c r="G157" t="n">
        <v>0</v>
      </c>
      <c r="H157" t="n">
        <v>0</v>
      </c>
      <c r="I157" t="n">
        <v>35</v>
      </c>
      <c r="J157" t="inlineStr">
        <is>
          <t>Reorder Required</t>
        </is>
      </c>
      <c r="K157" t="n">
        <v>3</v>
      </c>
      <c r="L157" t="inlineStr">
        <is>
          <t>Restock immediately</t>
        </is>
      </c>
    </row>
    <row r="158">
      <c r="A158" t="inlineStr">
        <is>
          <t>INV00157</t>
        </is>
      </c>
      <c r="B158" t="inlineStr">
        <is>
          <t>OUT004</t>
        </is>
      </c>
      <c r="C158" t="inlineStr">
        <is>
          <t>BP007</t>
        </is>
      </c>
      <c r="D158" t="n">
        <v>124</v>
      </c>
      <c r="E158" t="n">
        <v>84</v>
      </c>
      <c r="F158" t="n">
        <v>135</v>
      </c>
      <c r="G158" t="n">
        <v>70</v>
      </c>
      <c r="H158" t="n">
        <v>3</v>
      </c>
      <c r="I158" t="n">
        <v>16</v>
      </c>
      <c r="J158" t="inlineStr">
        <is>
          <t>Healthy</t>
        </is>
      </c>
      <c r="K158" t="n">
        <v>3</v>
      </c>
    </row>
    <row r="159">
      <c r="A159" t="inlineStr">
        <is>
          <t>INV00158</t>
        </is>
      </c>
      <c r="B159" t="inlineStr">
        <is>
          <t>OUT004</t>
        </is>
      </c>
      <c r="C159" t="inlineStr">
        <is>
          <t>BP008</t>
        </is>
      </c>
      <c r="D159" t="n">
        <v>113</v>
      </c>
      <c r="E159" t="n">
        <v>54</v>
      </c>
      <c r="F159" t="n">
        <v>121</v>
      </c>
      <c r="G159" t="n">
        <v>46</v>
      </c>
      <c r="H159" t="n">
        <v>0</v>
      </c>
      <c r="I159" t="n">
        <v>37</v>
      </c>
      <c r="J159" t="inlineStr">
        <is>
          <t>Healthy</t>
        </is>
      </c>
      <c r="K159" t="n">
        <v>2</v>
      </c>
    </row>
    <row r="160">
      <c r="A160" t="inlineStr">
        <is>
          <t>INV00159</t>
        </is>
      </c>
      <c r="B160" t="inlineStr">
        <is>
          <t>OUT004</t>
        </is>
      </c>
      <c r="C160" t="inlineStr">
        <is>
          <t>BP009</t>
        </is>
      </c>
      <c r="D160" t="n">
        <v>146</v>
      </c>
      <c r="E160" t="n">
        <v>58</v>
      </c>
      <c r="F160" t="n">
        <v>79</v>
      </c>
      <c r="G160" t="n">
        <v>124</v>
      </c>
      <c r="H160" t="n">
        <v>1</v>
      </c>
      <c r="I160" t="n">
        <v>26</v>
      </c>
      <c r="J160" t="inlineStr">
        <is>
          <t>Healthy</t>
        </is>
      </c>
      <c r="K160" t="n">
        <v>3</v>
      </c>
    </row>
    <row r="161">
      <c r="A161" t="inlineStr">
        <is>
          <t>INV00160</t>
        </is>
      </c>
      <c r="B161" t="inlineStr">
        <is>
          <t>OUT004</t>
        </is>
      </c>
      <c r="C161" t="inlineStr">
        <is>
          <t>BP010</t>
        </is>
      </c>
      <c r="D161" t="n">
        <v>53</v>
      </c>
      <c r="E161" t="n">
        <v>42</v>
      </c>
      <c r="F161" t="n">
        <v>80</v>
      </c>
      <c r="G161" t="n">
        <v>13</v>
      </c>
      <c r="H161" t="n">
        <v>2</v>
      </c>
      <c r="I161" t="n">
        <v>20</v>
      </c>
      <c r="J161" t="inlineStr">
        <is>
          <t>Reorder Required</t>
        </is>
      </c>
      <c r="K161" t="n">
        <v>5</v>
      </c>
      <c r="L161" t="inlineStr">
        <is>
          <t>Restock immediately</t>
        </is>
      </c>
    </row>
    <row r="162">
      <c r="A162" t="inlineStr">
        <is>
          <t>INV00161</t>
        </is>
      </c>
      <c r="B162" t="inlineStr">
        <is>
          <t>OUT004</t>
        </is>
      </c>
      <c r="C162" t="inlineStr">
        <is>
          <t>BP011</t>
        </is>
      </c>
      <c r="D162" t="n">
        <v>131</v>
      </c>
      <c r="E162" t="n">
        <v>78</v>
      </c>
      <c r="F162" t="n">
        <v>47</v>
      </c>
      <c r="G162" t="n">
        <v>162</v>
      </c>
      <c r="H162" t="n">
        <v>0</v>
      </c>
      <c r="I162" t="n">
        <v>31</v>
      </c>
      <c r="J162" t="inlineStr">
        <is>
          <t>Healthy</t>
        </is>
      </c>
      <c r="K162" t="n">
        <v>2</v>
      </c>
    </row>
    <row r="163">
      <c r="A163" t="inlineStr">
        <is>
          <t>INV00162</t>
        </is>
      </c>
      <c r="B163" t="inlineStr">
        <is>
          <t>OUT004</t>
        </is>
      </c>
      <c r="C163" t="inlineStr">
        <is>
          <t>BP012</t>
        </is>
      </c>
      <c r="D163" t="n">
        <v>53</v>
      </c>
      <c r="E163" t="n">
        <v>48</v>
      </c>
      <c r="F163" t="n">
        <v>49</v>
      </c>
      <c r="G163" t="n">
        <v>49</v>
      </c>
      <c r="H163" t="n">
        <v>3</v>
      </c>
      <c r="I163" t="n">
        <v>16</v>
      </c>
      <c r="J163" t="inlineStr">
        <is>
          <t>Healthy</t>
        </is>
      </c>
      <c r="K163" t="n">
        <v>5</v>
      </c>
    </row>
    <row r="164">
      <c r="A164" t="inlineStr">
        <is>
          <t>INV00163</t>
        </is>
      </c>
      <c r="B164" t="inlineStr">
        <is>
          <t>OUT004</t>
        </is>
      </c>
      <c r="C164" t="inlineStr">
        <is>
          <t>BP013</t>
        </is>
      </c>
      <c r="D164" t="n">
        <v>133</v>
      </c>
      <c r="E164" t="n">
        <v>47</v>
      </c>
      <c r="F164" t="n">
        <v>127</v>
      </c>
      <c r="G164" t="n">
        <v>53</v>
      </c>
      <c r="H164" t="n">
        <v>0</v>
      </c>
      <c r="I164" t="n">
        <v>38</v>
      </c>
      <c r="J164" t="inlineStr">
        <is>
          <t>Healthy</t>
        </is>
      </c>
      <c r="K164" t="n">
        <v>5</v>
      </c>
    </row>
    <row r="165">
      <c r="A165" t="inlineStr">
        <is>
          <t>INV00164</t>
        </is>
      </c>
      <c r="B165" t="inlineStr">
        <is>
          <t>OUT004</t>
        </is>
      </c>
      <c r="C165" t="inlineStr">
        <is>
          <t>BP014</t>
        </is>
      </c>
      <c r="D165" t="n">
        <v>102</v>
      </c>
      <c r="E165" t="n">
        <v>37</v>
      </c>
      <c r="F165" t="n">
        <v>86</v>
      </c>
      <c r="G165" t="n">
        <v>50</v>
      </c>
      <c r="H165" t="n">
        <v>3</v>
      </c>
      <c r="I165" t="n">
        <v>37</v>
      </c>
      <c r="J165" t="inlineStr">
        <is>
          <t>Healthy</t>
        </is>
      </c>
      <c r="K165" t="n">
        <v>5</v>
      </c>
    </row>
    <row r="166">
      <c r="A166" t="inlineStr">
        <is>
          <t>INV00165</t>
        </is>
      </c>
      <c r="B166" t="inlineStr">
        <is>
          <t>OUT004</t>
        </is>
      </c>
      <c r="C166" t="inlineStr">
        <is>
          <t>BP015</t>
        </is>
      </c>
      <c r="D166" t="n">
        <v>93</v>
      </c>
      <c r="E166" t="n">
        <v>30</v>
      </c>
      <c r="F166" t="n">
        <v>80</v>
      </c>
      <c r="G166" t="n">
        <v>42</v>
      </c>
      <c r="H166" t="n">
        <v>1</v>
      </c>
      <c r="I166" t="n">
        <v>26</v>
      </c>
      <c r="J166" t="inlineStr">
        <is>
          <t>Healthy</t>
        </is>
      </c>
      <c r="K166" t="n">
        <v>4</v>
      </c>
    </row>
    <row r="167">
      <c r="A167" t="inlineStr">
        <is>
          <t>INV00166</t>
        </is>
      </c>
      <c r="B167" t="inlineStr">
        <is>
          <t>OUT004</t>
        </is>
      </c>
      <c r="C167" t="inlineStr">
        <is>
          <t>BP016</t>
        </is>
      </c>
      <c r="D167" t="n">
        <v>83</v>
      </c>
      <c r="E167" t="n">
        <v>61</v>
      </c>
      <c r="F167" t="n">
        <v>133</v>
      </c>
      <c r="G167" t="n">
        <v>8</v>
      </c>
      <c r="H167" t="n">
        <v>3</v>
      </c>
      <c r="I167" t="n">
        <v>30</v>
      </c>
      <c r="J167" t="inlineStr">
        <is>
          <t>Reorder Required</t>
        </is>
      </c>
      <c r="K167" t="n">
        <v>1</v>
      </c>
      <c r="L167" t="inlineStr">
        <is>
          <t>Restock immediately</t>
        </is>
      </c>
    </row>
    <row r="168">
      <c r="A168" t="inlineStr">
        <is>
          <t>INV00167</t>
        </is>
      </c>
      <c r="B168" t="inlineStr">
        <is>
          <t>OUT004</t>
        </is>
      </c>
      <c r="C168" t="inlineStr">
        <is>
          <t>BP017</t>
        </is>
      </c>
      <c r="D168" t="n">
        <v>70</v>
      </c>
      <c r="E168" t="n">
        <v>52</v>
      </c>
      <c r="F168" t="n">
        <v>140</v>
      </c>
      <c r="G168" t="n">
        <v>0</v>
      </c>
      <c r="H168" t="n">
        <v>1</v>
      </c>
      <c r="I168" t="n">
        <v>27</v>
      </c>
      <c r="J168" t="inlineStr">
        <is>
          <t>Reorder Required</t>
        </is>
      </c>
      <c r="K168" t="n">
        <v>5</v>
      </c>
      <c r="L168" t="inlineStr">
        <is>
          <t>Restock immediately</t>
        </is>
      </c>
    </row>
    <row r="169">
      <c r="A169" t="inlineStr">
        <is>
          <t>INV00168</t>
        </is>
      </c>
      <c r="B169" t="inlineStr">
        <is>
          <t>OUT004</t>
        </is>
      </c>
      <c r="C169" t="inlineStr">
        <is>
          <t>BP018</t>
        </is>
      </c>
      <c r="D169" t="n">
        <v>50</v>
      </c>
      <c r="E169" t="n">
        <v>90</v>
      </c>
      <c r="F169" t="n">
        <v>53</v>
      </c>
      <c r="G169" t="n">
        <v>87</v>
      </c>
      <c r="H169" t="n">
        <v>0</v>
      </c>
      <c r="I169" t="n">
        <v>32</v>
      </c>
      <c r="J169" t="inlineStr">
        <is>
          <t>Healthy</t>
        </is>
      </c>
      <c r="K169" t="n">
        <v>4</v>
      </c>
    </row>
    <row r="170">
      <c r="A170" t="inlineStr">
        <is>
          <t>INV00169</t>
        </is>
      </c>
      <c r="B170" t="inlineStr">
        <is>
          <t>OUT004</t>
        </is>
      </c>
      <c r="C170" t="inlineStr">
        <is>
          <t>BP019</t>
        </is>
      </c>
      <c r="D170" t="n">
        <v>78</v>
      </c>
      <c r="E170" t="n">
        <v>58</v>
      </c>
      <c r="F170" t="n">
        <v>120</v>
      </c>
      <c r="G170" t="n">
        <v>14</v>
      </c>
      <c r="H170" t="n">
        <v>2</v>
      </c>
      <c r="I170" t="n">
        <v>35</v>
      </c>
      <c r="J170" t="inlineStr">
        <is>
          <t>Reorder Required</t>
        </is>
      </c>
      <c r="K170" t="n">
        <v>4</v>
      </c>
      <c r="L170" t="inlineStr">
        <is>
          <t>Restock immediately</t>
        </is>
      </c>
    </row>
    <row r="171">
      <c r="A171" t="inlineStr">
        <is>
          <t>INV00170</t>
        </is>
      </c>
      <c r="B171" t="inlineStr">
        <is>
          <t>OUT004</t>
        </is>
      </c>
      <c r="C171" t="inlineStr">
        <is>
          <t>BP020</t>
        </is>
      </c>
      <c r="D171" t="n">
        <v>68</v>
      </c>
      <c r="E171" t="n">
        <v>70</v>
      </c>
      <c r="F171" t="n">
        <v>131</v>
      </c>
      <c r="G171" t="n">
        <v>7</v>
      </c>
      <c r="H171" t="n">
        <v>0</v>
      </c>
      <c r="I171" t="n">
        <v>38</v>
      </c>
      <c r="J171" t="inlineStr">
        <is>
          <t>Reorder Required</t>
        </is>
      </c>
      <c r="K171" t="n">
        <v>5</v>
      </c>
      <c r="L171" t="inlineStr">
        <is>
          <t>Restock immediately</t>
        </is>
      </c>
    </row>
    <row r="172">
      <c r="A172" t="inlineStr">
        <is>
          <t>INV00171</t>
        </is>
      </c>
      <c r="B172" t="inlineStr">
        <is>
          <t>OUT004</t>
        </is>
      </c>
      <c r="C172" t="inlineStr">
        <is>
          <t>BP021</t>
        </is>
      </c>
      <c r="D172" t="n">
        <v>96</v>
      </c>
      <c r="E172" t="n">
        <v>58</v>
      </c>
      <c r="F172" t="n">
        <v>48</v>
      </c>
      <c r="G172" t="n">
        <v>105</v>
      </c>
      <c r="H172" t="n">
        <v>1</v>
      </c>
      <c r="I172" t="n">
        <v>23</v>
      </c>
      <c r="J172" t="inlineStr">
        <is>
          <t>Healthy</t>
        </is>
      </c>
      <c r="K172" t="n">
        <v>2</v>
      </c>
    </row>
    <row r="173">
      <c r="A173" t="inlineStr">
        <is>
          <t>INV00172</t>
        </is>
      </c>
      <c r="B173" t="inlineStr">
        <is>
          <t>OUT004</t>
        </is>
      </c>
      <c r="C173" t="inlineStr">
        <is>
          <t>BP022</t>
        </is>
      </c>
      <c r="D173" t="n">
        <v>66</v>
      </c>
      <c r="E173" t="n">
        <v>59</v>
      </c>
      <c r="F173" t="n">
        <v>89</v>
      </c>
      <c r="G173" t="n">
        <v>36</v>
      </c>
      <c r="H173" t="n">
        <v>0</v>
      </c>
      <c r="I173" t="n">
        <v>18</v>
      </c>
      <c r="J173" t="inlineStr">
        <is>
          <t>Healthy</t>
        </is>
      </c>
      <c r="K173" t="n">
        <v>1</v>
      </c>
    </row>
    <row r="174">
      <c r="A174" t="inlineStr">
        <is>
          <t>INV00173</t>
        </is>
      </c>
      <c r="B174" t="inlineStr">
        <is>
          <t>OUT004</t>
        </is>
      </c>
      <c r="C174" t="inlineStr">
        <is>
          <t>BP023</t>
        </is>
      </c>
      <c r="D174" t="n">
        <v>46</v>
      </c>
      <c r="E174" t="n">
        <v>47</v>
      </c>
      <c r="F174" t="n">
        <v>91</v>
      </c>
      <c r="G174" t="n">
        <v>1</v>
      </c>
      <c r="H174" t="n">
        <v>1</v>
      </c>
      <c r="I174" t="n">
        <v>36</v>
      </c>
      <c r="J174" t="inlineStr">
        <is>
          <t>Reorder Required</t>
        </is>
      </c>
      <c r="K174" t="n">
        <v>3</v>
      </c>
      <c r="L174" t="inlineStr">
        <is>
          <t>Restock immediately</t>
        </is>
      </c>
    </row>
    <row r="175">
      <c r="A175" t="inlineStr">
        <is>
          <t>INV00174</t>
        </is>
      </c>
      <c r="B175" t="inlineStr">
        <is>
          <t>OUT004</t>
        </is>
      </c>
      <c r="C175" t="inlineStr">
        <is>
          <t>BP024</t>
        </is>
      </c>
      <c r="D175" t="n">
        <v>53</v>
      </c>
      <c r="E175" t="n">
        <v>87</v>
      </c>
      <c r="F175" t="n">
        <v>78</v>
      </c>
      <c r="G175" t="n">
        <v>62</v>
      </c>
      <c r="H175" t="n">
        <v>0</v>
      </c>
      <c r="I175" t="n">
        <v>32</v>
      </c>
      <c r="J175" t="inlineStr">
        <is>
          <t>Healthy</t>
        </is>
      </c>
      <c r="K175" t="n">
        <v>2</v>
      </c>
    </row>
    <row r="176">
      <c r="A176" t="inlineStr">
        <is>
          <t>INV00175</t>
        </is>
      </c>
      <c r="B176" t="inlineStr">
        <is>
          <t>OUT004</t>
        </is>
      </c>
      <c r="C176" t="inlineStr">
        <is>
          <t>BP025</t>
        </is>
      </c>
      <c r="D176" t="n">
        <v>111</v>
      </c>
      <c r="E176" t="n">
        <v>22</v>
      </c>
      <c r="F176" t="n">
        <v>114</v>
      </c>
      <c r="G176" t="n">
        <v>16</v>
      </c>
      <c r="H176" t="n">
        <v>3</v>
      </c>
      <c r="I176" t="n">
        <v>21</v>
      </c>
      <c r="J176" t="inlineStr">
        <is>
          <t>Reorder Required</t>
        </is>
      </c>
      <c r="K176" t="n">
        <v>3</v>
      </c>
      <c r="L176" t="inlineStr">
        <is>
          <t>Restock immediately</t>
        </is>
      </c>
    </row>
    <row r="177">
      <c r="A177" t="inlineStr">
        <is>
          <t>INV00176</t>
        </is>
      </c>
      <c r="B177" t="inlineStr">
        <is>
          <t>OUT004</t>
        </is>
      </c>
      <c r="C177" t="inlineStr">
        <is>
          <t>BP026</t>
        </is>
      </c>
      <c r="D177" t="n">
        <v>53</v>
      </c>
      <c r="E177" t="n">
        <v>90</v>
      </c>
      <c r="F177" t="n">
        <v>130</v>
      </c>
      <c r="G177" t="n">
        <v>12</v>
      </c>
      <c r="H177" t="n">
        <v>1</v>
      </c>
      <c r="I177" t="n">
        <v>27</v>
      </c>
      <c r="J177" t="inlineStr">
        <is>
          <t>Reorder Required</t>
        </is>
      </c>
      <c r="K177" t="n">
        <v>4</v>
      </c>
      <c r="L177" t="inlineStr">
        <is>
          <t>Restock immediately</t>
        </is>
      </c>
    </row>
    <row r="178">
      <c r="A178" t="inlineStr">
        <is>
          <t>INV00177</t>
        </is>
      </c>
      <c r="B178" t="inlineStr">
        <is>
          <t>OUT004</t>
        </is>
      </c>
      <c r="C178" t="inlineStr">
        <is>
          <t>BP027</t>
        </is>
      </c>
      <c r="D178" t="n">
        <v>76</v>
      </c>
      <c r="E178" t="n">
        <v>43</v>
      </c>
      <c r="F178" t="n">
        <v>77</v>
      </c>
      <c r="G178" t="n">
        <v>39</v>
      </c>
      <c r="H178" t="n">
        <v>3</v>
      </c>
      <c r="I178" t="n">
        <v>38</v>
      </c>
      <c r="J178" t="inlineStr">
        <is>
          <t>Healthy</t>
        </is>
      </c>
      <c r="K178" t="n">
        <v>3</v>
      </c>
    </row>
    <row r="179">
      <c r="A179" t="inlineStr">
        <is>
          <t>INV00178</t>
        </is>
      </c>
      <c r="B179" t="inlineStr">
        <is>
          <t>OUT004</t>
        </is>
      </c>
      <c r="C179" t="inlineStr">
        <is>
          <t>BP028</t>
        </is>
      </c>
      <c r="D179" t="n">
        <v>136</v>
      </c>
      <c r="E179" t="n">
        <v>57</v>
      </c>
      <c r="F179" t="n">
        <v>69</v>
      </c>
      <c r="G179" t="n">
        <v>123</v>
      </c>
      <c r="H179" t="n">
        <v>1</v>
      </c>
      <c r="I179" t="n">
        <v>38</v>
      </c>
      <c r="J179" t="inlineStr">
        <is>
          <t>Healthy</t>
        </is>
      </c>
      <c r="K179" t="n">
        <v>2</v>
      </c>
    </row>
    <row r="180">
      <c r="A180" t="inlineStr">
        <is>
          <t>INV00179</t>
        </is>
      </c>
      <c r="B180" t="inlineStr">
        <is>
          <t>OUT004</t>
        </is>
      </c>
      <c r="C180" t="inlineStr">
        <is>
          <t>BP029</t>
        </is>
      </c>
      <c r="D180" t="n">
        <v>144</v>
      </c>
      <c r="E180" t="n">
        <v>94</v>
      </c>
      <c r="F180" t="n">
        <v>75</v>
      </c>
      <c r="G180" t="n">
        <v>161</v>
      </c>
      <c r="H180" t="n">
        <v>2</v>
      </c>
      <c r="I180" t="n">
        <v>23</v>
      </c>
      <c r="J180" t="inlineStr">
        <is>
          <t>Healthy</t>
        </is>
      </c>
      <c r="K180" t="n">
        <v>4</v>
      </c>
    </row>
    <row r="181">
      <c r="A181" t="inlineStr">
        <is>
          <t>INV00180</t>
        </is>
      </c>
      <c r="B181" t="inlineStr">
        <is>
          <t>OUT004</t>
        </is>
      </c>
      <c r="C181" t="inlineStr">
        <is>
          <t>BP030</t>
        </is>
      </c>
      <c r="D181" t="n">
        <v>104</v>
      </c>
      <c r="E181" t="n">
        <v>59</v>
      </c>
      <c r="F181" t="n">
        <v>47</v>
      </c>
      <c r="G181" t="n">
        <v>112</v>
      </c>
      <c r="H181" t="n">
        <v>4</v>
      </c>
      <c r="I181" t="n">
        <v>23</v>
      </c>
      <c r="J181" t="inlineStr">
        <is>
          <t>Healthy</t>
        </is>
      </c>
      <c r="K181" t="n">
        <v>2</v>
      </c>
    </row>
    <row r="182">
      <c r="A182" t="inlineStr">
        <is>
          <t>INV00181</t>
        </is>
      </c>
      <c r="B182" t="inlineStr">
        <is>
          <t>OUT004</t>
        </is>
      </c>
      <c r="C182" t="inlineStr">
        <is>
          <t>BP031</t>
        </is>
      </c>
      <c r="D182" t="n">
        <v>116</v>
      </c>
      <c r="E182" t="n">
        <v>92</v>
      </c>
      <c r="F182" t="n">
        <v>96</v>
      </c>
      <c r="G182" t="n">
        <v>104</v>
      </c>
      <c r="H182" t="n">
        <v>8</v>
      </c>
      <c r="I182" t="n">
        <v>40</v>
      </c>
      <c r="J182" t="inlineStr">
        <is>
          <t>Healthy</t>
        </is>
      </c>
      <c r="K182" t="n">
        <v>1</v>
      </c>
    </row>
    <row r="183">
      <c r="A183" t="inlineStr">
        <is>
          <t>INV00182</t>
        </is>
      </c>
      <c r="B183" t="inlineStr">
        <is>
          <t>OUT004</t>
        </is>
      </c>
      <c r="C183" t="inlineStr">
        <is>
          <t>BP032</t>
        </is>
      </c>
      <c r="D183" t="n">
        <v>62</v>
      </c>
      <c r="E183" t="n">
        <v>52</v>
      </c>
      <c r="F183" t="n">
        <v>103</v>
      </c>
      <c r="G183" t="n">
        <v>8</v>
      </c>
      <c r="H183" t="n">
        <v>3</v>
      </c>
      <c r="I183" t="n">
        <v>21</v>
      </c>
      <c r="J183" t="inlineStr">
        <is>
          <t>Reorder Required</t>
        </is>
      </c>
      <c r="K183" t="n">
        <v>3</v>
      </c>
      <c r="L183" t="inlineStr">
        <is>
          <t>Restock immediately</t>
        </is>
      </c>
    </row>
    <row r="184">
      <c r="A184" t="inlineStr">
        <is>
          <t>INV00183</t>
        </is>
      </c>
      <c r="B184" t="inlineStr">
        <is>
          <t>OUT004</t>
        </is>
      </c>
      <c r="C184" t="inlineStr">
        <is>
          <t>BP033</t>
        </is>
      </c>
      <c r="D184" t="n">
        <v>59</v>
      </c>
      <c r="E184" t="n">
        <v>30</v>
      </c>
      <c r="F184" t="n">
        <v>50</v>
      </c>
      <c r="G184" t="n">
        <v>32</v>
      </c>
      <c r="H184" t="n">
        <v>7</v>
      </c>
      <c r="I184" t="n">
        <v>34</v>
      </c>
      <c r="J184" t="inlineStr">
        <is>
          <t>Reorder Required</t>
        </is>
      </c>
      <c r="K184" t="n">
        <v>5</v>
      </c>
      <c r="L184" t="inlineStr">
        <is>
          <t>Restock immediately</t>
        </is>
      </c>
    </row>
    <row r="185">
      <c r="A185" t="inlineStr">
        <is>
          <t>INV00184</t>
        </is>
      </c>
      <c r="B185" t="inlineStr">
        <is>
          <t>OUT004</t>
        </is>
      </c>
      <c r="C185" t="inlineStr">
        <is>
          <t>BP034</t>
        </is>
      </c>
      <c r="D185" t="n">
        <v>138</v>
      </c>
      <c r="E185" t="n">
        <v>67</v>
      </c>
      <c r="F185" t="n">
        <v>98</v>
      </c>
      <c r="G185" t="n">
        <v>105</v>
      </c>
      <c r="H185" t="n">
        <v>2</v>
      </c>
      <c r="I185" t="n">
        <v>26</v>
      </c>
      <c r="J185" t="inlineStr">
        <is>
          <t>Healthy</t>
        </is>
      </c>
      <c r="K185" t="n">
        <v>1</v>
      </c>
    </row>
    <row r="186">
      <c r="A186" t="inlineStr">
        <is>
          <t>INV00185</t>
        </is>
      </c>
      <c r="B186" t="inlineStr">
        <is>
          <t>OUT004</t>
        </is>
      </c>
      <c r="C186" t="inlineStr">
        <is>
          <t>BP035</t>
        </is>
      </c>
      <c r="D186" t="n">
        <v>60</v>
      </c>
      <c r="E186" t="n">
        <v>80</v>
      </c>
      <c r="F186" t="n">
        <v>87</v>
      </c>
      <c r="G186" t="n">
        <v>49</v>
      </c>
      <c r="H186" t="n">
        <v>4</v>
      </c>
      <c r="I186" t="n">
        <v>33</v>
      </c>
      <c r="J186" t="inlineStr">
        <is>
          <t>Healthy</t>
        </is>
      </c>
      <c r="K186" t="n">
        <v>5</v>
      </c>
    </row>
    <row r="187">
      <c r="A187" t="inlineStr">
        <is>
          <t>INV00186</t>
        </is>
      </c>
      <c r="B187" t="inlineStr">
        <is>
          <t>OUT004</t>
        </is>
      </c>
      <c r="C187" t="inlineStr">
        <is>
          <t>BP036</t>
        </is>
      </c>
      <c r="D187" t="n">
        <v>98</v>
      </c>
      <c r="E187" t="n">
        <v>20</v>
      </c>
      <c r="F187" t="n">
        <v>69</v>
      </c>
      <c r="G187" t="n">
        <v>42</v>
      </c>
      <c r="H187" t="n">
        <v>7</v>
      </c>
      <c r="I187" t="n">
        <v>17</v>
      </c>
      <c r="J187" t="inlineStr">
        <is>
          <t>Healthy</t>
        </is>
      </c>
      <c r="K187" t="n">
        <v>3</v>
      </c>
    </row>
    <row r="188">
      <c r="A188" t="inlineStr">
        <is>
          <t>INV00187</t>
        </is>
      </c>
      <c r="B188" t="inlineStr">
        <is>
          <t>OUT004</t>
        </is>
      </c>
      <c r="C188" t="inlineStr">
        <is>
          <t>BP037</t>
        </is>
      </c>
      <c r="D188" t="n">
        <v>109</v>
      </c>
      <c r="E188" t="n">
        <v>74</v>
      </c>
      <c r="F188" t="n">
        <v>70</v>
      </c>
      <c r="G188" t="n">
        <v>106</v>
      </c>
      <c r="H188" t="n">
        <v>7</v>
      </c>
      <c r="I188" t="n">
        <v>33</v>
      </c>
      <c r="J188" t="inlineStr">
        <is>
          <t>Healthy</t>
        </is>
      </c>
      <c r="K188" t="n">
        <v>2</v>
      </c>
    </row>
    <row r="189">
      <c r="A189" t="inlineStr">
        <is>
          <t>INV00188</t>
        </is>
      </c>
      <c r="B189" t="inlineStr">
        <is>
          <t>OUT004</t>
        </is>
      </c>
      <c r="C189" t="inlineStr">
        <is>
          <t>BP038</t>
        </is>
      </c>
      <c r="D189" t="n">
        <v>95</v>
      </c>
      <c r="E189" t="n">
        <v>57</v>
      </c>
      <c r="F189" t="n">
        <v>32</v>
      </c>
      <c r="G189" t="n">
        <v>116</v>
      </c>
      <c r="H189" t="n">
        <v>4</v>
      </c>
      <c r="I189" t="n">
        <v>37</v>
      </c>
      <c r="J189" t="inlineStr">
        <is>
          <t>Healthy</t>
        </is>
      </c>
      <c r="K189" t="n">
        <v>1</v>
      </c>
    </row>
    <row r="190">
      <c r="A190" t="inlineStr">
        <is>
          <t>INV00189</t>
        </is>
      </c>
      <c r="B190" t="inlineStr">
        <is>
          <t>OUT004</t>
        </is>
      </c>
      <c r="C190" t="inlineStr">
        <is>
          <t>BP039</t>
        </is>
      </c>
      <c r="D190" t="n">
        <v>128</v>
      </c>
      <c r="E190" t="n">
        <v>95</v>
      </c>
      <c r="F190" t="n">
        <v>99</v>
      </c>
      <c r="G190" t="n">
        <v>118</v>
      </c>
      <c r="H190" t="n">
        <v>6</v>
      </c>
      <c r="I190" t="n">
        <v>40</v>
      </c>
      <c r="J190" t="inlineStr">
        <is>
          <t>Healthy</t>
        </is>
      </c>
      <c r="K190" t="n">
        <v>4</v>
      </c>
    </row>
    <row r="191">
      <c r="A191" t="inlineStr">
        <is>
          <t>INV00190</t>
        </is>
      </c>
      <c r="B191" t="inlineStr">
        <is>
          <t>OUT004</t>
        </is>
      </c>
      <c r="C191" t="inlineStr">
        <is>
          <t>BP040</t>
        </is>
      </c>
      <c r="D191" t="n">
        <v>92</v>
      </c>
      <c r="E191" t="n">
        <v>85</v>
      </c>
      <c r="F191" t="n">
        <v>77</v>
      </c>
      <c r="G191" t="n">
        <v>97</v>
      </c>
      <c r="H191" t="n">
        <v>3</v>
      </c>
      <c r="I191" t="n">
        <v>19</v>
      </c>
      <c r="J191" t="inlineStr">
        <is>
          <t>Healthy</t>
        </is>
      </c>
      <c r="K191" t="n">
        <v>4</v>
      </c>
    </row>
    <row r="192">
      <c r="A192" t="inlineStr">
        <is>
          <t>INV00191</t>
        </is>
      </c>
      <c r="B192" t="inlineStr">
        <is>
          <t>OUT004</t>
        </is>
      </c>
      <c r="C192" t="inlineStr">
        <is>
          <t>BP041</t>
        </is>
      </c>
      <c r="D192" t="n">
        <v>65</v>
      </c>
      <c r="E192" t="n">
        <v>36</v>
      </c>
      <c r="F192" t="n">
        <v>123</v>
      </c>
      <c r="G192" t="n">
        <v>0</v>
      </c>
      <c r="H192" t="n">
        <v>3</v>
      </c>
      <c r="I192" t="n">
        <v>36</v>
      </c>
      <c r="J192" t="inlineStr">
        <is>
          <t>Reorder Required</t>
        </is>
      </c>
      <c r="K192" t="n">
        <v>1</v>
      </c>
      <c r="L192" t="inlineStr">
        <is>
          <t>Restock immediately</t>
        </is>
      </c>
    </row>
    <row r="193">
      <c r="A193" t="inlineStr">
        <is>
          <t>INV00192</t>
        </is>
      </c>
      <c r="B193" t="inlineStr">
        <is>
          <t>OUT004</t>
        </is>
      </c>
      <c r="C193" t="inlineStr">
        <is>
          <t>BP042</t>
        </is>
      </c>
      <c r="D193" t="n">
        <v>52</v>
      </c>
      <c r="E193" t="n">
        <v>29</v>
      </c>
      <c r="F193" t="n">
        <v>110</v>
      </c>
      <c r="G193" t="n">
        <v>0</v>
      </c>
      <c r="H193" t="n">
        <v>0</v>
      </c>
      <c r="I193" t="n">
        <v>22</v>
      </c>
      <c r="J193" t="inlineStr">
        <is>
          <t>Reorder Required</t>
        </is>
      </c>
      <c r="K193" t="n">
        <v>4</v>
      </c>
      <c r="L193" t="inlineStr">
        <is>
          <t>Restock immediately</t>
        </is>
      </c>
    </row>
    <row r="194">
      <c r="A194" t="inlineStr">
        <is>
          <t>INV00193</t>
        </is>
      </c>
      <c r="B194" t="inlineStr">
        <is>
          <t>OUT004</t>
        </is>
      </c>
      <c r="C194" t="inlineStr">
        <is>
          <t>BP043</t>
        </is>
      </c>
      <c r="D194" t="n">
        <v>61</v>
      </c>
      <c r="E194" t="n">
        <v>37</v>
      </c>
      <c r="F194" t="n">
        <v>122</v>
      </c>
      <c r="G194" t="n">
        <v>0</v>
      </c>
      <c r="H194" t="n">
        <v>2</v>
      </c>
      <c r="I194" t="n">
        <v>29</v>
      </c>
      <c r="J194" t="inlineStr">
        <is>
          <t>Reorder Required</t>
        </is>
      </c>
      <c r="K194" t="n">
        <v>3</v>
      </c>
      <c r="L194" t="inlineStr">
        <is>
          <t>Restock immediately</t>
        </is>
      </c>
    </row>
    <row r="195">
      <c r="A195" t="inlineStr">
        <is>
          <t>INV00194</t>
        </is>
      </c>
      <c r="B195" t="inlineStr">
        <is>
          <t>OUT004</t>
        </is>
      </c>
      <c r="C195" t="inlineStr">
        <is>
          <t>BP044</t>
        </is>
      </c>
      <c r="D195" t="n">
        <v>52</v>
      </c>
      <c r="E195" t="n">
        <v>80</v>
      </c>
      <c r="F195" t="n">
        <v>122</v>
      </c>
      <c r="G195" t="n">
        <v>7</v>
      </c>
      <c r="H195" t="n">
        <v>3</v>
      </c>
      <c r="I195" t="n">
        <v>31</v>
      </c>
      <c r="J195" t="inlineStr">
        <is>
          <t>Reorder Required</t>
        </is>
      </c>
      <c r="K195" t="n">
        <v>1</v>
      </c>
      <c r="L195" t="inlineStr">
        <is>
          <t>Restock immediately</t>
        </is>
      </c>
    </row>
    <row r="196">
      <c r="A196" t="inlineStr">
        <is>
          <t>INV00195</t>
        </is>
      </c>
      <c r="B196" t="inlineStr">
        <is>
          <t>OUT004</t>
        </is>
      </c>
      <c r="C196" t="inlineStr">
        <is>
          <t>BP045</t>
        </is>
      </c>
      <c r="D196" t="n">
        <v>68</v>
      </c>
      <c r="E196" t="n">
        <v>56</v>
      </c>
      <c r="F196" t="n">
        <v>93</v>
      </c>
      <c r="G196" t="n">
        <v>30</v>
      </c>
      <c r="H196" t="n">
        <v>1</v>
      </c>
      <c r="I196" t="n">
        <v>22</v>
      </c>
      <c r="J196" t="inlineStr">
        <is>
          <t>Healthy</t>
        </is>
      </c>
      <c r="K196" t="n">
        <v>1</v>
      </c>
    </row>
    <row r="197">
      <c r="A197" t="inlineStr">
        <is>
          <t>INV00196</t>
        </is>
      </c>
      <c r="B197" t="inlineStr">
        <is>
          <t>OUT004</t>
        </is>
      </c>
      <c r="C197" t="inlineStr">
        <is>
          <t>BP046</t>
        </is>
      </c>
      <c r="D197" t="n">
        <v>127</v>
      </c>
      <c r="E197" t="n">
        <v>98</v>
      </c>
      <c r="F197" t="n">
        <v>133</v>
      </c>
      <c r="G197" t="n">
        <v>90</v>
      </c>
      <c r="H197" t="n">
        <v>2</v>
      </c>
      <c r="I197" t="n">
        <v>25</v>
      </c>
      <c r="J197" t="inlineStr">
        <is>
          <t>Healthy</t>
        </is>
      </c>
      <c r="K197" t="n">
        <v>2</v>
      </c>
    </row>
    <row r="198">
      <c r="A198" t="inlineStr">
        <is>
          <t>INV00197</t>
        </is>
      </c>
      <c r="B198" t="inlineStr">
        <is>
          <t>OUT004</t>
        </is>
      </c>
      <c r="C198" t="inlineStr">
        <is>
          <t>BP047</t>
        </is>
      </c>
      <c r="D198" t="n">
        <v>130</v>
      </c>
      <c r="E198" t="n">
        <v>52</v>
      </c>
      <c r="F198" t="n">
        <v>129</v>
      </c>
      <c r="G198" t="n">
        <v>53</v>
      </c>
      <c r="H198" t="n">
        <v>0</v>
      </c>
      <c r="I198" t="n">
        <v>23</v>
      </c>
      <c r="J198" t="inlineStr">
        <is>
          <t>Healthy</t>
        </is>
      </c>
      <c r="K198" t="n">
        <v>4</v>
      </c>
    </row>
    <row r="199">
      <c r="A199" t="inlineStr">
        <is>
          <t>INV00198</t>
        </is>
      </c>
      <c r="B199" t="inlineStr">
        <is>
          <t>OUT004</t>
        </is>
      </c>
      <c r="C199" t="inlineStr">
        <is>
          <t>BP048</t>
        </is>
      </c>
      <c r="D199" t="n">
        <v>131</v>
      </c>
      <c r="E199" t="n">
        <v>35</v>
      </c>
      <c r="F199" t="n">
        <v>104</v>
      </c>
      <c r="G199" t="n">
        <v>59</v>
      </c>
      <c r="H199" t="n">
        <v>3</v>
      </c>
      <c r="I199" t="n">
        <v>20</v>
      </c>
      <c r="J199" t="inlineStr">
        <is>
          <t>Healthy</t>
        </is>
      </c>
      <c r="K199" t="n">
        <v>4</v>
      </c>
    </row>
    <row r="200">
      <c r="A200" t="inlineStr">
        <is>
          <t>INV00199</t>
        </is>
      </c>
      <c r="B200" t="inlineStr">
        <is>
          <t>OUT004</t>
        </is>
      </c>
      <c r="C200" t="inlineStr">
        <is>
          <t>BP049</t>
        </is>
      </c>
      <c r="D200" t="n">
        <v>140</v>
      </c>
      <c r="E200" t="n">
        <v>42</v>
      </c>
      <c r="F200" t="n">
        <v>56</v>
      </c>
      <c r="G200" t="n">
        <v>126</v>
      </c>
      <c r="H200" t="n">
        <v>0</v>
      </c>
      <c r="I200" t="n">
        <v>23</v>
      </c>
      <c r="J200" t="inlineStr">
        <is>
          <t>Healthy</t>
        </is>
      </c>
      <c r="K200" t="n">
        <v>5</v>
      </c>
    </row>
    <row r="201">
      <c r="A201" t="inlineStr">
        <is>
          <t>INV00200</t>
        </is>
      </c>
      <c r="B201" t="inlineStr">
        <is>
          <t>OUT004</t>
        </is>
      </c>
      <c r="C201" t="inlineStr">
        <is>
          <t>BP050</t>
        </is>
      </c>
      <c r="D201" t="n">
        <v>84</v>
      </c>
      <c r="E201" t="n">
        <v>29</v>
      </c>
      <c r="F201" t="n">
        <v>140</v>
      </c>
      <c r="G201" t="n">
        <v>0</v>
      </c>
      <c r="H201" t="n">
        <v>1</v>
      </c>
      <c r="I201" t="n">
        <v>30</v>
      </c>
      <c r="J201" t="inlineStr">
        <is>
          <t>Reorder Required</t>
        </is>
      </c>
      <c r="K201" t="n">
        <v>5</v>
      </c>
      <c r="L201" t="inlineStr">
        <is>
          <t>Restock immediately</t>
        </is>
      </c>
    </row>
    <row r="202">
      <c r="A202" t="inlineStr">
        <is>
          <t>INV00201</t>
        </is>
      </c>
      <c r="B202" t="inlineStr">
        <is>
          <t>OUT005</t>
        </is>
      </c>
      <c r="C202" t="inlineStr">
        <is>
          <t>BP001</t>
        </is>
      </c>
      <c r="D202" t="n">
        <v>58</v>
      </c>
      <c r="E202" t="n">
        <v>20</v>
      </c>
      <c r="F202" t="n">
        <v>140</v>
      </c>
      <c r="G202" t="n">
        <v>0</v>
      </c>
      <c r="H202" t="n">
        <v>1</v>
      </c>
      <c r="I202" t="n">
        <v>30</v>
      </c>
      <c r="J202" t="inlineStr">
        <is>
          <t>Reorder Required</t>
        </is>
      </c>
      <c r="K202" t="n">
        <v>1</v>
      </c>
      <c r="L202" t="inlineStr">
        <is>
          <t>Restock immediately</t>
        </is>
      </c>
    </row>
    <row r="203">
      <c r="A203" t="inlineStr">
        <is>
          <t>INV00202</t>
        </is>
      </c>
      <c r="B203" t="inlineStr">
        <is>
          <t>OUT005</t>
        </is>
      </c>
      <c r="C203" t="inlineStr">
        <is>
          <t>BP002</t>
        </is>
      </c>
      <c r="D203" t="n">
        <v>104</v>
      </c>
      <c r="E203" t="n">
        <v>57</v>
      </c>
      <c r="F203" t="n">
        <v>113</v>
      </c>
      <c r="G203" t="n">
        <v>46</v>
      </c>
      <c r="H203" t="n">
        <v>2</v>
      </c>
      <c r="I203" t="n">
        <v>31</v>
      </c>
      <c r="J203" t="inlineStr">
        <is>
          <t>Healthy</t>
        </is>
      </c>
      <c r="K203" t="n">
        <v>3</v>
      </c>
    </row>
    <row r="204">
      <c r="A204" t="inlineStr">
        <is>
          <t>INV00203</t>
        </is>
      </c>
      <c r="B204" t="inlineStr">
        <is>
          <t>OUT005</t>
        </is>
      </c>
      <c r="C204" t="inlineStr">
        <is>
          <t>BP003</t>
        </is>
      </c>
      <c r="D204" t="n">
        <v>70</v>
      </c>
      <c r="E204" t="n">
        <v>57</v>
      </c>
      <c r="F204" t="n">
        <v>36</v>
      </c>
      <c r="G204" t="n">
        <v>90</v>
      </c>
      <c r="H204" t="n">
        <v>1</v>
      </c>
      <c r="I204" t="n">
        <v>22</v>
      </c>
      <c r="J204" t="inlineStr">
        <is>
          <t>Healthy</t>
        </is>
      </c>
      <c r="K204" t="n">
        <v>1</v>
      </c>
    </row>
    <row r="205">
      <c r="A205" t="inlineStr">
        <is>
          <t>INV00204</t>
        </is>
      </c>
      <c r="B205" t="inlineStr">
        <is>
          <t>OUT005</t>
        </is>
      </c>
      <c r="C205" t="inlineStr">
        <is>
          <t>BP004</t>
        </is>
      </c>
      <c r="D205" t="n">
        <v>143</v>
      </c>
      <c r="E205" t="n">
        <v>35</v>
      </c>
      <c r="F205" t="n">
        <v>66</v>
      </c>
      <c r="G205" t="n">
        <v>112</v>
      </c>
      <c r="H205" t="n">
        <v>0</v>
      </c>
      <c r="I205" t="n">
        <v>21</v>
      </c>
      <c r="J205" t="inlineStr">
        <is>
          <t>Healthy</t>
        </is>
      </c>
      <c r="K205" t="n">
        <v>1</v>
      </c>
    </row>
    <row r="206">
      <c r="A206" t="inlineStr">
        <is>
          <t>INV00205</t>
        </is>
      </c>
      <c r="B206" t="inlineStr">
        <is>
          <t>OUT005</t>
        </is>
      </c>
      <c r="C206" t="inlineStr">
        <is>
          <t>BP005</t>
        </is>
      </c>
      <c r="D206" t="n">
        <v>79</v>
      </c>
      <c r="E206" t="n">
        <v>82</v>
      </c>
      <c r="F206" t="n">
        <v>130</v>
      </c>
      <c r="G206" t="n">
        <v>31</v>
      </c>
      <c r="H206" t="n">
        <v>0</v>
      </c>
      <c r="I206" t="n">
        <v>31</v>
      </c>
      <c r="J206" t="inlineStr">
        <is>
          <t>Reorder Required</t>
        </is>
      </c>
      <c r="K206" t="n">
        <v>1</v>
      </c>
      <c r="L206" t="inlineStr">
        <is>
          <t>Restock immediately</t>
        </is>
      </c>
    </row>
    <row r="207">
      <c r="A207" t="inlineStr">
        <is>
          <t>INV00206</t>
        </is>
      </c>
      <c r="B207" t="inlineStr">
        <is>
          <t>OUT005</t>
        </is>
      </c>
      <c r="C207" t="inlineStr">
        <is>
          <t>BP006</t>
        </is>
      </c>
      <c r="D207" t="n">
        <v>133</v>
      </c>
      <c r="E207" t="n">
        <v>78</v>
      </c>
      <c r="F207" t="n">
        <v>112</v>
      </c>
      <c r="G207" t="n">
        <v>97</v>
      </c>
      <c r="H207" t="n">
        <v>2</v>
      </c>
      <c r="I207" t="n">
        <v>24</v>
      </c>
      <c r="J207" t="inlineStr">
        <is>
          <t>Healthy</t>
        </is>
      </c>
      <c r="K207" t="n">
        <v>1</v>
      </c>
    </row>
    <row r="208">
      <c r="A208" t="inlineStr">
        <is>
          <t>INV00207</t>
        </is>
      </c>
      <c r="B208" t="inlineStr">
        <is>
          <t>OUT005</t>
        </is>
      </c>
      <c r="C208" t="inlineStr">
        <is>
          <t>BP007</t>
        </is>
      </c>
      <c r="D208" t="n">
        <v>116</v>
      </c>
      <c r="E208" t="n">
        <v>48</v>
      </c>
      <c r="F208" t="n">
        <v>118</v>
      </c>
      <c r="G208" t="n">
        <v>44</v>
      </c>
      <c r="H208" t="n">
        <v>2</v>
      </c>
      <c r="I208" t="n">
        <v>31</v>
      </c>
      <c r="J208" t="inlineStr">
        <is>
          <t>Healthy</t>
        </is>
      </c>
      <c r="K208" t="n">
        <v>2</v>
      </c>
    </row>
    <row r="209">
      <c r="A209" t="inlineStr">
        <is>
          <t>INV00208</t>
        </is>
      </c>
      <c r="B209" t="inlineStr">
        <is>
          <t>OUT005</t>
        </is>
      </c>
      <c r="C209" t="inlineStr">
        <is>
          <t>BP008</t>
        </is>
      </c>
      <c r="D209" t="n">
        <v>134</v>
      </c>
      <c r="E209" t="n">
        <v>29</v>
      </c>
      <c r="F209" t="n">
        <v>91</v>
      </c>
      <c r="G209" t="n">
        <v>70</v>
      </c>
      <c r="H209" t="n">
        <v>2</v>
      </c>
      <c r="I209" t="n">
        <v>33</v>
      </c>
      <c r="J209" t="inlineStr">
        <is>
          <t>Healthy</t>
        </is>
      </c>
      <c r="K209" t="n">
        <v>4</v>
      </c>
    </row>
    <row r="210">
      <c r="A210" t="inlineStr">
        <is>
          <t>INV00209</t>
        </is>
      </c>
      <c r="B210" t="inlineStr">
        <is>
          <t>OUT005</t>
        </is>
      </c>
      <c r="C210" t="inlineStr">
        <is>
          <t>BP009</t>
        </is>
      </c>
      <c r="D210" t="n">
        <v>60</v>
      </c>
      <c r="E210" t="n">
        <v>76</v>
      </c>
      <c r="F210" t="n">
        <v>130</v>
      </c>
      <c r="G210" t="n">
        <v>5</v>
      </c>
      <c r="H210" t="n">
        <v>1</v>
      </c>
      <c r="I210" t="n">
        <v>26</v>
      </c>
      <c r="J210" t="inlineStr">
        <is>
          <t>Reorder Required</t>
        </is>
      </c>
      <c r="K210" t="n">
        <v>1</v>
      </c>
      <c r="L210" t="inlineStr">
        <is>
          <t>Restock immediately</t>
        </is>
      </c>
    </row>
    <row r="211">
      <c r="A211" t="inlineStr">
        <is>
          <t>INV00210</t>
        </is>
      </c>
      <c r="B211" t="inlineStr">
        <is>
          <t>OUT005</t>
        </is>
      </c>
      <c r="C211" t="inlineStr">
        <is>
          <t>BP010</t>
        </is>
      </c>
      <c r="D211" t="n">
        <v>75</v>
      </c>
      <c r="E211" t="n">
        <v>79</v>
      </c>
      <c r="F211" t="n">
        <v>72</v>
      </c>
      <c r="G211" t="n">
        <v>82</v>
      </c>
      <c r="H211" t="n">
        <v>0</v>
      </c>
      <c r="I211" t="n">
        <v>27</v>
      </c>
      <c r="J211" t="inlineStr">
        <is>
          <t>Healthy</t>
        </is>
      </c>
      <c r="K211" t="n">
        <v>2</v>
      </c>
    </row>
    <row r="212">
      <c r="A212" t="inlineStr">
        <is>
          <t>INV00211</t>
        </is>
      </c>
      <c r="B212" t="inlineStr">
        <is>
          <t>OUT005</t>
        </is>
      </c>
      <c r="C212" t="inlineStr">
        <is>
          <t>BP011</t>
        </is>
      </c>
      <c r="D212" t="n">
        <v>91</v>
      </c>
      <c r="E212" t="n">
        <v>60</v>
      </c>
      <c r="F212" t="n">
        <v>91</v>
      </c>
      <c r="G212" t="n">
        <v>57</v>
      </c>
      <c r="H212" t="n">
        <v>3</v>
      </c>
      <c r="I212" t="n">
        <v>35</v>
      </c>
      <c r="J212" t="inlineStr">
        <is>
          <t>Healthy</t>
        </is>
      </c>
      <c r="K212" t="n">
        <v>4</v>
      </c>
    </row>
    <row r="213">
      <c r="A213" t="inlineStr">
        <is>
          <t>INV00212</t>
        </is>
      </c>
      <c r="B213" t="inlineStr">
        <is>
          <t>OUT005</t>
        </is>
      </c>
      <c r="C213" t="inlineStr">
        <is>
          <t>BP012</t>
        </is>
      </c>
      <c r="D213" t="n">
        <v>69</v>
      </c>
      <c r="E213" t="n">
        <v>64</v>
      </c>
      <c r="F213" t="n">
        <v>65</v>
      </c>
      <c r="G213" t="n">
        <v>65</v>
      </c>
      <c r="H213" t="n">
        <v>3</v>
      </c>
      <c r="I213" t="n">
        <v>22</v>
      </c>
      <c r="J213" t="inlineStr">
        <is>
          <t>Healthy</t>
        </is>
      </c>
      <c r="K213" t="n">
        <v>3</v>
      </c>
    </row>
    <row r="214">
      <c r="A214" t="inlineStr">
        <is>
          <t>INV00213</t>
        </is>
      </c>
      <c r="B214" t="inlineStr">
        <is>
          <t>OUT005</t>
        </is>
      </c>
      <c r="C214" t="inlineStr">
        <is>
          <t>BP013</t>
        </is>
      </c>
      <c r="D214" t="n">
        <v>116</v>
      </c>
      <c r="E214" t="n">
        <v>43</v>
      </c>
      <c r="F214" t="n">
        <v>100</v>
      </c>
      <c r="G214" t="n">
        <v>57</v>
      </c>
      <c r="H214" t="n">
        <v>2</v>
      </c>
      <c r="I214" t="n">
        <v>38</v>
      </c>
      <c r="J214" t="inlineStr">
        <is>
          <t>Healthy</t>
        </is>
      </c>
      <c r="K214" t="n">
        <v>1</v>
      </c>
    </row>
    <row r="215">
      <c r="A215" t="inlineStr">
        <is>
          <t>INV00214</t>
        </is>
      </c>
      <c r="B215" t="inlineStr">
        <is>
          <t>OUT005</t>
        </is>
      </c>
      <c r="C215" t="inlineStr">
        <is>
          <t>BP014</t>
        </is>
      </c>
      <c r="D215" t="n">
        <v>105</v>
      </c>
      <c r="E215" t="n">
        <v>31</v>
      </c>
      <c r="F215" t="n">
        <v>40</v>
      </c>
      <c r="G215" t="n">
        <v>96</v>
      </c>
      <c r="H215" t="n">
        <v>0</v>
      </c>
      <c r="I215" t="n">
        <v>16</v>
      </c>
      <c r="J215" t="inlineStr">
        <is>
          <t>Healthy</t>
        </is>
      </c>
      <c r="K215" t="n">
        <v>1</v>
      </c>
    </row>
    <row r="216">
      <c r="A216" t="inlineStr">
        <is>
          <t>INV00215</t>
        </is>
      </c>
      <c r="B216" t="inlineStr">
        <is>
          <t>OUT005</t>
        </is>
      </c>
      <c r="C216" t="inlineStr">
        <is>
          <t>BP015</t>
        </is>
      </c>
      <c r="D216" t="n">
        <v>84</v>
      </c>
      <c r="E216" t="n">
        <v>87</v>
      </c>
      <c r="F216" t="n">
        <v>96</v>
      </c>
      <c r="G216" t="n">
        <v>72</v>
      </c>
      <c r="H216" t="n">
        <v>3</v>
      </c>
      <c r="I216" t="n">
        <v>23</v>
      </c>
      <c r="J216" t="inlineStr">
        <is>
          <t>Healthy</t>
        </is>
      </c>
      <c r="K216" t="n">
        <v>4</v>
      </c>
    </row>
    <row r="217">
      <c r="A217" t="inlineStr">
        <is>
          <t>INV00216</t>
        </is>
      </c>
      <c r="B217" t="inlineStr">
        <is>
          <t>OUT005</t>
        </is>
      </c>
      <c r="C217" t="inlineStr">
        <is>
          <t>BP016</t>
        </is>
      </c>
      <c r="D217" t="n">
        <v>44</v>
      </c>
      <c r="E217" t="n">
        <v>83</v>
      </c>
      <c r="F217" t="n">
        <v>89</v>
      </c>
      <c r="G217" t="n">
        <v>36</v>
      </c>
      <c r="H217" t="n">
        <v>2</v>
      </c>
      <c r="I217" t="n">
        <v>34</v>
      </c>
      <c r="J217" t="inlineStr">
        <is>
          <t>Healthy</t>
        </is>
      </c>
      <c r="K217" t="n">
        <v>1</v>
      </c>
    </row>
    <row r="218">
      <c r="A218" t="inlineStr">
        <is>
          <t>INV00217</t>
        </is>
      </c>
      <c r="B218" t="inlineStr">
        <is>
          <t>OUT005</t>
        </is>
      </c>
      <c r="C218" t="inlineStr">
        <is>
          <t>BP017</t>
        </is>
      </c>
      <c r="D218" t="n">
        <v>46</v>
      </c>
      <c r="E218" t="n">
        <v>72</v>
      </c>
      <c r="F218" t="n">
        <v>128</v>
      </c>
      <c r="G218" t="n">
        <v>0</v>
      </c>
      <c r="H218" t="n">
        <v>0</v>
      </c>
      <c r="I218" t="n">
        <v>35</v>
      </c>
      <c r="J218" t="inlineStr">
        <is>
          <t>Reorder Required</t>
        </is>
      </c>
      <c r="K218" t="n">
        <v>4</v>
      </c>
      <c r="L218" t="inlineStr">
        <is>
          <t>Restock immediately</t>
        </is>
      </c>
    </row>
    <row r="219">
      <c r="A219" t="inlineStr">
        <is>
          <t>INV00218</t>
        </is>
      </c>
      <c r="B219" t="inlineStr">
        <is>
          <t>OUT005</t>
        </is>
      </c>
      <c r="C219" t="inlineStr">
        <is>
          <t>BP018</t>
        </is>
      </c>
      <c r="D219" t="n">
        <v>108</v>
      </c>
      <c r="E219" t="n">
        <v>92</v>
      </c>
      <c r="F219" t="n">
        <v>86</v>
      </c>
      <c r="G219" t="n">
        <v>112</v>
      </c>
      <c r="H219" t="n">
        <v>2</v>
      </c>
      <c r="I219" t="n">
        <v>17</v>
      </c>
      <c r="J219" t="inlineStr">
        <is>
          <t>Healthy</t>
        </is>
      </c>
      <c r="K219" t="n">
        <v>5</v>
      </c>
    </row>
    <row r="220">
      <c r="A220" t="inlineStr">
        <is>
          <t>INV00219</t>
        </is>
      </c>
      <c r="B220" t="inlineStr">
        <is>
          <t>OUT005</t>
        </is>
      </c>
      <c r="C220" t="inlineStr">
        <is>
          <t>BP019</t>
        </is>
      </c>
      <c r="D220" t="n">
        <v>84</v>
      </c>
      <c r="E220" t="n">
        <v>34</v>
      </c>
      <c r="F220" t="n">
        <v>87</v>
      </c>
      <c r="G220" t="n">
        <v>31</v>
      </c>
      <c r="H220" t="n">
        <v>0</v>
      </c>
      <c r="I220" t="n">
        <v>40</v>
      </c>
      <c r="J220" t="inlineStr">
        <is>
          <t>Reorder Required</t>
        </is>
      </c>
      <c r="K220" t="n">
        <v>4</v>
      </c>
      <c r="L220" t="inlineStr">
        <is>
          <t>Restock immediately</t>
        </is>
      </c>
    </row>
    <row r="221">
      <c r="A221" t="inlineStr">
        <is>
          <t>INV00220</t>
        </is>
      </c>
      <c r="B221" t="inlineStr">
        <is>
          <t>OUT005</t>
        </is>
      </c>
      <c r="C221" t="inlineStr">
        <is>
          <t>BP020</t>
        </is>
      </c>
      <c r="D221" t="n">
        <v>143</v>
      </c>
      <c r="E221" t="n">
        <v>46</v>
      </c>
      <c r="F221" t="n">
        <v>106</v>
      </c>
      <c r="G221" t="n">
        <v>83</v>
      </c>
      <c r="H221" t="n">
        <v>0</v>
      </c>
      <c r="I221" t="n">
        <v>21</v>
      </c>
      <c r="J221" t="inlineStr">
        <is>
          <t>Healthy</t>
        </is>
      </c>
      <c r="K221" t="n">
        <v>4</v>
      </c>
    </row>
    <row r="222">
      <c r="A222" t="inlineStr">
        <is>
          <t>INV00221</t>
        </is>
      </c>
      <c r="B222" t="inlineStr">
        <is>
          <t>OUT005</t>
        </is>
      </c>
      <c r="C222" t="inlineStr">
        <is>
          <t>BP021</t>
        </is>
      </c>
      <c r="D222" t="n">
        <v>88</v>
      </c>
      <c r="E222" t="n">
        <v>51</v>
      </c>
      <c r="F222" t="n">
        <v>88</v>
      </c>
      <c r="G222" t="n">
        <v>50</v>
      </c>
      <c r="H222" t="n">
        <v>1</v>
      </c>
      <c r="I222" t="n">
        <v>19</v>
      </c>
      <c r="J222" t="inlineStr">
        <is>
          <t>Healthy</t>
        </is>
      </c>
      <c r="K222" t="n">
        <v>2</v>
      </c>
    </row>
    <row r="223">
      <c r="A223" t="inlineStr">
        <is>
          <t>INV00222</t>
        </is>
      </c>
      <c r="B223" t="inlineStr">
        <is>
          <t>OUT005</t>
        </is>
      </c>
      <c r="C223" t="inlineStr">
        <is>
          <t>BP022</t>
        </is>
      </c>
      <c r="D223" t="n">
        <v>53</v>
      </c>
      <c r="E223" t="n">
        <v>59</v>
      </c>
      <c r="F223" t="n">
        <v>58</v>
      </c>
      <c r="G223" t="n">
        <v>52</v>
      </c>
      <c r="H223" t="n">
        <v>2</v>
      </c>
      <c r="I223" t="n">
        <v>39</v>
      </c>
      <c r="J223" t="inlineStr">
        <is>
          <t>Healthy</t>
        </is>
      </c>
      <c r="K223" t="n">
        <v>5</v>
      </c>
    </row>
    <row r="224">
      <c r="A224" t="inlineStr">
        <is>
          <t>INV00223</t>
        </is>
      </c>
      <c r="B224" t="inlineStr">
        <is>
          <t>OUT005</t>
        </is>
      </c>
      <c r="C224" t="inlineStr">
        <is>
          <t>BP023</t>
        </is>
      </c>
      <c r="D224" t="n">
        <v>49</v>
      </c>
      <c r="E224" t="n">
        <v>61</v>
      </c>
      <c r="F224" t="n">
        <v>131</v>
      </c>
      <c r="G224" t="n">
        <v>0</v>
      </c>
      <c r="H224" t="n">
        <v>1</v>
      </c>
      <c r="I224" t="n">
        <v>20</v>
      </c>
      <c r="J224" t="inlineStr">
        <is>
          <t>Reorder Required</t>
        </is>
      </c>
      <c r="K224" t="n">
        <v>3</v>
      </c>
      <c r="L224" t="inlineStr">
        <is>
          <t>Restock immediately</t>
        </is>
      </c>
    </row>
    <row r="225">
      <c r="A225" t="inlineStr">
        <is>
          <t>INV00224</t>
        </is>
      </c>
      <c r="B225" t="inlineStr">
        <is>
          <t>OUT005</t>
        </is>
      </c>
      <c r="C225" t="inlineStr">
        <is>
          <t>BP024</t>
        </is>
      </c>
      <c r="D225" t="n">
        <v>150</v>
      </c>
      <c r="E225" t="n">
        <v>62</v>
      </c>
      <c r="F225" t="n">
        <v>56</v>
      </c>
      <c r="G225" t="n">
        <v>155</v>
      </c>
      <c r="H225" t="n">
        <v>1</v>
      </c>
      <c r="I225" t="n">
        <v>24</v>
      </c>
      <c r="J225" t="inlineStr">
        <is>
          <t>Healthy</t>
        </is>
      </c>
      <c r="K225" t="n">
        <v>4</v>
      </c>
    </row>
    <row r="226">
      <c r="A226" t="inlineStr">
        <is>
          <t>INV00225</t>
        </is>
      </c>
      <c r="B226" t="inlineStr">
        <is>
          <t>OUT005</t>
        </is>
      </c>
      <c r="C226" t="inlineStr">
        <is>
          <t>BP025</t>
        </is>
      </c>
      <c r="D226" t="n">
        <v>82</v>
      </c>
      <c r="E226" t="n">
        <v>20</v>
      </c>
      <c r="F226" t="n">
        <v>107</v>
      </c>
      <c r="G226" t="n">
        <v>0</v>
      </c>
      <c r="H226" t="n">
        <v>3</v>
      </c>
      <c r="I226" t="n">
        <v>31</v>
      </c>
      <c r="J226" t="inlineStr">
        <is>
          <t>Reorder Required</t>
        </is>
      </c>
      <c r="K226" t="n">
        <v>5</v>
      </c>
      <c r="L226" t="inlineStr">
        <is>
          <t>Restock immediately</t>
        </is>
      </c>
    </row>
    <row r="227">
      <c r="A227" t="inlineStr">
        <is>
          <t>INV00226</t>
        </is>
      </c>
      <c r="B227" t="inlineStr">
        <is>
          <t>OUT005</t>
        </is>
      </c>
      <c r="C227" t="inlineStr">
        <is>
          <t>BP026</t>
        </is>
      </c>
      <c r="D227" t="n">
        <v>76</v>
      </c>
      <c r="E227" t="n">
        <v>49</v>
      </c>
      <c r="F227" t="n">
        <v>64</v>
      </c>
      <c r="G227" t="n">
        <v>58</v>
      </c>
      <c r="H227" t="n">
        <v>3</v>
      </c>
      <c r="I227" t="n">
        <v>32</v>
      </c>
      <c r="J227" t="inlineStr">
        <is>
          <t>Healthy</t>
        </is>
      </c>
      <c r="K227" t="n">
        <v>1</v>
      </c>
    </row>
    <row r="228">
      <c r="A228" t="inlineStr">
        <is>
          <t>INV00227</t>
        </is>
      </c>
      <c r="B228" t="inlineStr">
        <is>
          <t>OUT005</t>
        </is>
      </c>
      <c r="C228" t="inlineStr">
        <is>
          <t>BP027</t>
        </is>
      </c>
      <c r="D228" t="n">
        <v>149</v>
      </c>
      <c r="E228" t="n">
        <v>29</v>
      </c>
      <c r="F228" t="n">
        <v>125</v>
      </c>
      <c r="G228" t="n">
        <v>50</v>
      </c>
      <c r="H228" t="n">
        <v>3</v>
      </c>
      <c r="I228" t="n">
        <v>18</v>
      </c>
      <c r="J228" t="inlineStr">
        <is>
          <t>Healthy</t>
        </is>
      </c>
      <c r="K228" t="n">
        <v>1</v>
      </c>
    </row>
    <row r="229">
      <c r="A229" t="inlineStr">
        <is>
          <t>INV00228</t>
        </is>
      </c>
      <c r="B229" t="inlineStr">
        <is>
          <t>OUT005</t>
        </is>
      </c>
      <c r="C229" t="inlineStr">
        <is>
          <t>BP028</t>
        </is>
      </c>
      <c r="D229" t="n">
        <v>125</v>
      </c>
      <c r="E229" t="n">
        <v>29</v>
      </c>
      <c r="F229" t="n">
        <v>73</v>
      </c>
      <c r="G229" t="n">
        <v>81</v>
      </c>
      <c r="H229" t="n">
        <v>0</v>
      </c>
      <c r="I229" t="n">
        <v>21</v>
      </c>
      <c r="J229" t="inlineStr">
        <is>
          <t>Healthy</t>
        </is>
      </c>
      <c r="K229" t="n">
        <v>4</v>
      </c>
    </row>
    <row r="230">
      <c r="A230" t="inlineStr">
        <is>
          <t>INV00229</t>
        </is>
      </c>
      <c r="B230" t="inlineStr">
        <is>
          <t>OUT005</t>
        </is>
      </c>
      <c r="C230" t="inlineStr">
        <is>
          <t>BP029</t>
        </is>
      </c>
      <c r="D230" t="n">
        <v>48</v>
      </c>
      <c r="E230" t="n">
        <v>21</v>
      </c>
      <c r="F230" t="n">
        <v>99</v>
      </c>
      <c r="G230" t="n">
        <v>0</v>
      </c>
      <c r="H230" t="n">
        <v>1</v>
      </c>
      <c r="I230" t="n">
        <v>31</v>
      </c>
      <c r="J230" t="inlineStr">
        <is>
          <t>Reorder Required</t>
        </is>
      </c>
      <c r="K230" t="n">
        <v>3</v>
      </c>
      <c r="L230" t="inlineStr">
        <is>
          <t>Restock immediately</t>
        </is>
      </c>
    </row>
    <row r="231">
      <c r="A231" t="inlineStr">
        <is>
          <t>INV00230</t>
        </is>
      </c>
      <c r="B231" t="inlineStr">
        <is>
          <t>OUT005</t>
        </is>
      </c>
      <c r="C231" t="inlineStr">
        <is>
          <t>BP030</t>
        </is>
      </c>
      <c r="D231" t="n">
        <v>70</v>
      </c>
      <c r="E231" t="n">
        <v>64</v>
      </c>
      <c r="F231" t="n">
        <v>67</v>
      </c>
      <c r="G231" t="n">
        <v>59</v>
      </c>
      <c r="H231" t="n">
        <v>8</v>
      </c>
      <c r="I231" t="n">
        <v>27</v>
      </c>
      <c r="J231" t="inlineStr">
        <is>
          <t>Healthy</t>
        </is>
      </c>
      <c r="K231" t="n">
        <v>5</v>
      </c>
    </row>
    <row r="232">
      <c r="A232" t="inlineStr">
        <is>
          <t>INV00231</t>
        </is>
      </c>
      <c r="B232" t="inlineStr">
        <is>
          <t>OUT005</t>
        </is>
      </c>
      <c r="C232" t="inlineStr">
        <is>
          <t>BP031</t>
        </is>
      </c>
      <c r="D232" t="n">
        <v>96</v>
      </c>
      <c r="E232" t="n">
        <v>35</v>
      </c>
      <c r="F232" t="n">
        <v>55</v>
      </c>
      <c r="G232" t="n">
        <v>68</v>
      </c>
      <c r="H232" t="n">
        <v>8</v>
      </c>
      <c r="I232" t="n">
        <v>20</v>
      </c>
      <c r="J232" t="inlineStr">
        <is>
          <t>Healthy</t>
        </is>
      </c>
      <c r="K232" t="n">
        <v>2</v>
      </c>
    </row>
    <row r="233">
      <c r="A233" t="inlineStr">
        <is>
          <t>INV00232</t>
        </is>
      </c>
      <c r="B233" t="inlineStr">
        <is>
          <t>OUT005</t>
        </is>
      </c>
      <c r="C233" t="inlineStr">
        <is>
          <t>BP032</t>
        </is>
      </c>
      <c r="D233" t="n">
        <v>140</v>
      </c>
      <c r="E233" t="n">
        <v>84</v>
      </c>
      <c r="F233" t="n">
        <v>52</v>
      </c>
      <c r="G233" t="n">
        <v>169</v>
      </c>
      <c r="H233" t="n">
        <v>3</v>
      </c>
      <c r="I233" t="n">
        <v>30</v>
      </c>
      <c r="J233" t="inlineStr">
        <is>
          <t>Healthy</t>
        </is>
      </c>
      <c r="K233" t="n">
        <v>5</v>
      </c>
    </row>
    <row r="234">
      <c r="A234" t="inlineStr">
        <is>
          <t>INV00233</t>
        </is>
      </c>
      <c r="B234" t="inlineStr">
        <is>
          <t>OUT005</t>
        </is>
      </c>
      <c r="C234" t="inlineStr">
        <is>
          <t>BP033</t>
        </is>
      </c>
      <c r="D234" t="n">
        <v>90</v>
      </c>
      <c r="E234" t="n">
        <v>39</v>
      </c>
      <c r="F234" t="n">
        <v>35</v>
      </c>
      <c r="G234" t="n">
        <v>88</v>
      </c>
      <c r="H234" t="n">
        <v>6</v>
      </c>
      <c r="I234" t="n">
        <v>27</v>
      </c>
      <c r="J234" t="inlineStr">
        <is>
          <t>Healthy</t>
        </is>
      </c>
      <c r="K234" t="n">
        <v>2</v>
      </c>
    </row>
    <row r="235">
      <c r="A235" t="inlineStr">
        <is>
          <t>INV00234</t>
        </is>
      </c>
      <c r="B235" t="inlineStr">
        <is>
          <t>OUT005</t>
        </is>
      </c>
      <c r="C235" t="inlineStr">
        <is>
          <t>BP034</t>
        </is>
      </c>
      <c r="D235" t="n">
        <v>61</v>
      </c>
      <c r="E235" t="n">
        <v>21</v>
      </c>
      <c r="F235" t="n">
        <v>140</v>
      </c>
      <c r="G235" t="n">
        <v>0</v>
      </c>
      <c r="H235" t="n">
        <v>6</v>
      </c>
      <c r="I235" t="n">
        <v>36</v>
      </c>
      <c r="J235" t="inlineStr">
        <is>
          <t>Reorder Required</t>
        </is>
      </c>
      <c r="K235" t="n">
        <v>5</v>
      </c>
      <c r="L235" t="inlineStr">
        <is>
          <t>Restock immediately</t>
        </is>
      </c>
    </row>
    <row r="236">
      <c r="A236" t="inlineStr">
        <is>
          <t>INV00235</t>
        </is>
      </c>
      <c r="B236" t="inlineStr">
        <is>
          <t>OUT005</t>
        </is>
      </c>
      <c r="C236" t="inlineStr">
        <is>
          <t>BP035</t>
        </is>
      </c>
      <c r="D236" t="n">
        <v>136</v>
      </c>
      <c r="E236" t="n">
        <v>86</v>
      </c>
      <c r="F236" t="n">
        <v>82</v>
      </c>
      <c r="G236" t="n">
        <v>134</v>
      </c>
      <c r="H236" t="n">
        <v>6</v>
      </c>
      <c r="I236" t="n">
        <v>24</v>
      </c>
      <c r="J236" t="inlineStr">
        <is>
          <t>Healthy</t>
        </is>
      </c>
      <c r="K236" t="n">
        <v>1</v>
      </c>
    </row>
    <row r="237">
      <c r="A237" t="inlineStr">
        <is>
          <t>INV00236</t>
        </is>
      </c>
      <c r="B237" t="inlineStr">
        <is>
          <t>OUT005</t>
        </is>
      </c>
      <c r="C237" t="inlineStr">
        <is>
          <t>BP036</t>
        </is>
      </c>
      <c r="D237" t="n">
        <v>55</v>
      </c>
      <c r="E237" t="n">
        <v>57</v>
      </c>
      <c r="F237" t="n">
        <v>89</v>
      </c>
      <c r="G237" t="n">
        <v>19</v>
      </c>
      <c r="H237" t="n">
        <v>4</v>
      </c>
      <c r="I237" t="n">
        <v>17</v>
      </c>
      <c r="J237" t="inlineStr">
        <is>
          <t>Healthy</t>
        </is>
      </c>
      <c r="K237" t="n">
        <v>5</v>
      </c>
    </row>
    <row r="238">
      <c r="A238" t="inlineStr">
        <is>
          <t>INV00237</t>
        </is>
      </c>
      <c r="B238" t="inlineStr">
        <is>
          <t>OUT005</t>
        </is>
      </c>
      <c r="C238" t="inlineStr">
        <is>
          <t>BP037</t>
        </is>
      </c>
      <c r="D238" t="n">
        <v>78</v>
      </c>
      <c r="E238" t="n">
        <v>75</v>
      </c>
      <c r="F238" t="n">
        <v>130</v>
      </c>
      <c r="G238" t="n">
        <v>17</v>
      </c>
      <c r="H238" t="n">
        <v>6</v>
      </c>
      <c r="I238" t="n">
        <v>25</v>
      </c>
      <c r="J238" t="inlineStr">
        <is>
          <t>Reorder Required</t>
        </is>
      </c>
      <c r="K238" t="n">
        <v>4</v>
      </c>
      <c r="L238" t="inlineStr">
        <is>
          <t>Restock immediately</t>
        </is>
      </c>
    </row>
    <row r="239">
      <c r="A239" t="inlineStr">
        <is>
          <t>INV00238</t>
        </is>
      </c>
      <c r="B239" t="inlineStr">
        <is>
          <t>OUT005</t>
        </is>
      </c>
      <c r="C239" t="inlineStr">
        <is>
          <t>BP038</t>
        </is>
      </c>
      <c r="D239" t="n">
        <v>119</v>
      </c>
      <c r="E239" t="n">
        <v>89</v>
      </c>
      <c r="F239" t="n">
        <v>118</v>
      </c>
      <c r="G239" t="n">
        <v>87</v>
      </c>
      <c r="H239" t="n">
        <v>3</v>
      </c>
      <c r="I239" t="n">
        <v>30</v>
      </c>
      <c r="J239" t="inlineStr">
        <is>
          <t>Healthy</t>
        </is>
      </c>
      <c r="K239" t="n">
        <v>2</v>
      </c>
    </row>
    <row r="240">
      <c r="A240" t="inlineStr">
        <is>
          <t>INV00239</t>
        </is>
      </c>
      <c r="B240" t="inlineStr">
        <is>
          <t>OUT005</t>
        </is>
      </c>
      <c r="C240" t="inlineStr">
        <is>
          <t>BP039</t>
        </is>
      </c>
      <c r="D240" t="n">
        <v>126</v>
      </c>
      <c r="E240" t="n">
        <v>97</v>
      </c>
      <c r="F240" t="n">
        <v>115</v>
      </c>
      <c r="G240" t="n">
        <v>103</v>
      </c>
      <c r="H240" t="n">
        <v>5</v>
      </c>
      <c r="I240" t="n">
        <v>36</v>
      </c>
      <c r="J240" t="inlineStr">
        <is>
          <t>Healthy</t>
        </is>
      </c>
      <c r="K240" t="n">
        <v>1</v>
      </c>
    </row>
    <row r="241">
      <c r="A241" t="inlineStr">
        <is>
          <t>INV00240</t>
        </is>
      </c>
      <c r="B241" t="inlineStr">
        <is>
          <t>OUT005</t>
        </is>
      </c>
      <c r="C241" t="inlineStr">
        <is>
          <t>BP040</t>
        </is>
      </c>
      <c r="D241" t="n">
        <v>132</v>
      </c>
      <c r="E241" t="n">
        <v>93</v>
      </c>
      <c r="F241" t="n">
        <v>31</v>
      </c>
      <c r="G241" t="n">
        <v>190</v>
      </c>
      <c r="H241" t="n">
        <v>4</v>
      </c>
      <c r="I241" t="n">
        <v>30</v>
      </c>
      <c r="J241" t="inlineStr">
        <is>
          <t>Healthy</t>
        </is>
      </c>
      <c r="K241" t="n">
        <v>3</v>
      </c>
    </row>
    <row r="242">
      <c r="A242" t="inlineStr">
        <is>
          <t>INV00241</t>
        </is>
      </c>
      <c r="B242" t="inlineStr">
        <is>
          <t>OUT005</t>
        </is>
      </c>
      <c r="C242" t="inlineStr">
        <is>
          <t>BP041</t>
        </is>
      </c>
      <c r="D242" t="n">
        <v>95</v>
      </c>
      <c r="E242" t="n">
        <v>76</v>
      </c>
      <c r="F242" t="n">
        <v>133</v>
      </c>
      <c r="G242" t="n">
        <v>35</v>
      </c>
      <c r="H242" t="n">
        <v>3</v>
      </c>
      <c r="I242" t="n">
        <v>31</v>
      </c>
      <c r="J242" t="inlineStr">
        <is>
          <t>Healthy</t>
        </is>
      </c>
      <c r="K242" t="n">
        <v>3</v>
      </c>
    </row>
    <row r="243">
      <c r="A243" t="inlineStr">
        <is>
          <t>INV00242</t>
        </is>
      </c>
      <c r="B243" t="inlineStr">
        <is>
          <t>OUT005</t>
        </is>
      </c>
      <c r="C243" t="inlineStr">
        <is>
          <t>BP042</t>
        </is>
      </c>
      <c r="D243" t="n">
        <v>124</v>
      </c>
      <c r="E243" t="n">
        <v>99</v>
      </c>
      <c r="F243" t="n">
        <v>86</v>
      </c>
      <c r="G243" t="n">
        <v>137</v>
      </c>
      <c r="H243" t="n">
        <v>0</v>
      </c>
      <c r="I243" t="n">
        <v>35</v>
      </c>
      <c r="J243" t="inlineStr">
        <is>
          <t>Healthy</t>
        </is>
      </c>
      <c r="K243" t="n">
        <v>5</v>
      </c>
    </row>
    <row r="244">
      <c r="A244" t="inlineStr">
        <is>
          <t>INV00243</t>
        </is>
      </c>
      <c r="B244" t="inlineStr">
        <is>
          <t>OUT005</t>
        </is>
      </c>
      <c r="C244" t="inlineStr">
        <is>
          <t>BP043</t>
        </is>
      </c>
      <c r="D244" t="n">
        <v>51</v>
      </c>
      <c r="E244" t="n">
        <v>62</v>
      </c>
      <c r="F244" t="n">
        <v>135</v>
      </c>
      <c r="G244" t="n">
        <v>0</v>
      </c>
      <c r="H244" t="n">
        <v>2</v>
      </c>
      <c r="I244" t="n">
        <v>34</v>
      </c>
      <c r="J244" t="inlineStr">
        <is>
          <t>Reorder Required</t>
        </is>
      </c>
      <c r="K244" t="n">
        <v>4</v>
      </c>
      <c r="L244" t="inlineStr">
        <is>
          <t>Restock immediately</t>
        </is>
      </c>
    </row>
    <row r="245">
      <c r="A245" t="inlineStr">
        <is>
          <t>INV00244</t>
        </is>
      </c>
      <c r="B245" t="inlineStr">
        <is>
          <t>OUT005</t>
        </is>
      </c>
      <c r="C245" t="inlineStr">
        <is>
          <t>BP044</t>
        </is>
      </c>
      <c r="D245" t="n">
        <v>61</v>
      </c>
      <c r="E245" t="n">
        <v>91</v>
      </c>
      <c r="F245" t="n">
        <v>134</v>
      </c>
      <c r="G245" t="n">
        <v>18</v>
      </c>
      <c r="H245" t="n">
        <v>0</v>
      </c>
      <c r="I245" t="n">
        <v>30</v>
      </c>
      <c r="J245" t="inlineStr">
        <is>
          <t>Reorder Required</t>
        </is>
      </c>
      <c r="K245" t="n">
        <v>5</v>
      </c>
      <c r="L245" t="inlineStr">
        <is>
          <t>Restock immediately</t>
        </is>
      </c>
    </row>
    <row r="246">
      <c r="A246" t="inlineStr">
        <is>
          <t>INV00245</t>
        </is>
      </c>
      <c r="B246" t="inlineStr">
        <is>
          <t>OUT005</t>
        </is>
      </c>
      <c r="C246" t="inlineStr">
        <is>
          <t>BP045</t>
        </is>
      </c>
      <c r="D246" t="n">
        <v>90</v>
      </c>
      <c r="E246" t="n">
        <v>95</v>
      </c>
      <c r="F246" t="n">
        <v>39</v>
      </c>
      <c r="G246" t="n">
        <v>144</v>
      </c>
      <c r="H246" t="n">
        <v>2</v>
      </c>
      <c r="I246" t="n">
        <v>29</v>
      </c>
      <c r="J246" t="inlineStr">
        <is>
          <t>Healthy</t>
        </is>
      </c>
      <c r="K246" t="n">
        <v>1</v>
      </c>
    </row>
    <row r="247">
      <c r="A247" t="inlineStr">
        <is>
          <t>INV00246</t>
        </is>
      </c>
      <c r="B247" t="inlineStr">
        <is>
          <t>OUT005</t>
        </is>
      </c>
      <c r="C247" t="inlineStr">
        <is>
          <t>BP046</t>
        </is>
      </c>
      <c r="D247" t="n">
        <v>88</v>
      </c>
      <c r="E247" t="n">
        <v>32</v>
      </c>
      <c r="F247" t="n">
        <v>88</v>
      </c>
      <c r="G247" t="n">
        <v>31</v>
      </c>
      <c r="H247" t="n">
        <v>1</v>
      </c>
      <c r="I247" t="n">
        <v>35</v>
      </c>
      <c r="J247" t="inlineStr">
        <is>
          <t>Reorder Required</t>
        </is>
      </c>
      <c r="K247" t="n">
        <v>1</v>
      </c>
      <c r="L247" t="inlineStr">
        <is>
          <t>Restock immediately</t>
        </is>
      </c>
    </row>
    <row r="248">
      <c r="A248" t="inlineStr">
        <is>
          <t>INV00247</t>
        </is>
      </c>
      <c r="B248" t="inlineStr">
        <is>
          <t>OUT005</t>
        </is>
      </c>
      <c r="C248" t="inlineStr">
        <is>
          <t>BP047</t>
        </is>
      </c>
      <c r="D248" t="n">
        <v>144</v>
      </c>
      <c r="E248" t="n">
        <v>21</v>
      </c>
      <c r="F248" t="n">
        <v>100</v>
      </c>
      <c r="G248" t="n">
        <v>65</v>
      </c>
      <c r="H248" t="n">
        <v>0</v>
      </c>
      <c r="I248" t="n">
        <v>34</v>
      </c>
      <c r="J248" t="inlineStr">
        <is>
          <t>Healthy</t>
        </is>
      </c>
      <c r="K248" t="n">
        <v>5</v>
      </c>
    </row>
    <row r="249">
      <c r="A249" t="inlineStr">
        <is>
          <t>INV00248</t>
        </is>
      </c>
      <c r="B249" t="inlineStr">
        <is>
          <t>OUT005</t>
        </is>
      </c>
      <c r="C249" t="inlineStr">
        <is>
          <t>BP048</t>
        </is>
      </c>
      <c r="D249" t="n">
        <v>76</v>
      </c>
      <c r="E249" t="n">
        <v>58</v>
      </c>
      <c r="F249" t="n">
        <v>32</v>
      </c>
      <c r="G249" t="n">
        <v>101</v>
      </c>
      <c r="H249" t="n">
        <v>1</v>
      </c>
      <c r="I249" t="n">
        <v>39</v>
      </c>
      <c r="J249" t="inlineStr">
        <is>
          <t>Healthy</t>
        </is>
      </c>
      <c r="K249" t="n">
        <v>5</v>
      </c>
    </row>
    <row r="250">
      <c r="A250" t="inlineStr">
        <is>
          <t>INV00249</t>
        </is>
      </c>
      <c r="B250" t="inlineStr">
        <is>
          <t>OUT005</t>
        </is>
      </c>
      <c r="C250" t="inlineStr">
        <is>
          <t>BP049</t>
        </is>
      </c>
      <c r="D250" t="n">
        <v>132</v>
      </c>
      <c r="E250" t="n">
        <v>51</v>
      </c>
      <c r="F250" t="n">
        <v>94</v>
      </c>
      <c r="G250" t="n">
        <v>87</v>
      </c>
      <c r="H250" t="n">
        <v>2</v>
      </c>
      <c r="I250" t="n">
        <v>37</v>
      </c>
      <c r="J250" t="inlineStr">
        <is>
          <t>Healthy</t>
        </is>
      </c>
      <c r="K250" t="n">
        <v>1</v>
      </c>
    </row>
    <row r="251">
      <c r="A251" t="inlineStr">
        <is>
          <t>INV00250</t>
        </is>
      </c>
      <c r="B251" t="inlineStr">
        <is>
          <t>OUT005</t>
        </is>
      </c>
      <c r="C251" t="inlineStr">
        <is>
          <t>BP050</t>
        </is>
      </c>
      <c r="D251" t="n">
        <v>95</v>
      </c>
      <c r="E251" t="n">
        <v>48</v>
      </c>
      <c r="F251" t="n">
        <v>105</v>
      </c>
      <c r="G251" t="n">
        <v>37</v>
      </c>
      <c r="H251" t="n">
        <v>1</v>
      </c>
      <c r="I251" t="n">
        <v>18</v>
      </c>
      <c r="J251" t="inlineStr">
        <is>
          <t>Healthy</t>
        </is>
      </c>
      <c r="K251" t="n">
        <v>3</v>
      </c>
    </row>
    <row r="252">
      <c r="A252" t="inlineStr">
        <is>
          <t>INV00251</t>
        </is>
      </c>
      <c r="B252" t="inlineStr">
        <is>
          <t>OUT006</t>
        </is>
      </c>
      <c r="C252" t="inlineStr">
        <is>
          <t>BP001</t>
        </is>
      </c>
      <c r="D252" t="n">
        <v>142</v>
      </c>
      <c r="E252" t="n">
        <v>33</v>
      </c>
      <c r="F252" t="n">
        <v>44</v>
      </c>
      <c r="G252" t="n">
        <v>129</v>
      </c>
      <c r="H252" t="n">
        <v>2</v>
      </c>
      <c r="I252" t="n">
        <v>37</v>
      </c>
      <c r="J252" t="inlineStr">
        <is>
          <t>Healthy</t>
        </is>
      </c>
      <c r="K252" t="n">
        <v>4</v>
      </c>
    </row>
    <row r="253">
      <c r="A253" t="inlineStr">
        <is>
          <t>INV00252</t>
        </is>
      </c>
      <c r="B253" t="inlineStr">
        <is>
          <t>OUT006</t>
        </is>
      </c>
      <c r="C253" t="inlineStr">
        <is>
          <t>BP002</t>
        </is>
      </c>
      <c r="D253" t="n">
        <v>123</v>
      </c>
      <c r="E253" t="n">
        <v>61</v>
      </c>
      <c r="F253" t="n">
        <v>95</v>
      </c>
      <c r="G253" t="n">
        <v>89</v>
      </c>
      <c r="H253" t="n">
        <v>0</v>
      </c>
      <c r="I253" t="n">
        <v>38</v>
      </c>
      <c r="J253" t="inlineStr">
        <is>
          <t>Healthy</t>
        </is>
      </c>
      <c r="K253" t="n">
        <v>1</v>
      </c>
    </row>
    <row r="254">
      <c r="A254" t="inlineStr">
        <is>
          <t>INV00253</t>
        </is>
      </c>
      <c r="B254" t="inlineStr">
        <is>
          <t>OUT006</t>
        </is>
      </c>
      <c r="C254" t="inlineStr">
        <is>
          <t>BP003</t>
        </is>
      </c>
      <c r="D254" t="n">
        <v>69</v>
      </c>
      <c r="E254" t="n">
        <v>78</v>
      </c>
      <c r="F254" t="n">
        <v>61</v>
      </c>
      <c r="G254" t="n">
        <v>84</v>
      </c>
      <c r="H254" t="n">
        <v>2</v>
      </c>
      <c r="I254" t="n">
        <v>21</v>
      </c>
      <c r="J254" t="inlineStr">
        <is>
          <t>Healthy</t>
        </is>
      </c>
      <c r="K254" t="n">
        <v>1</v>
      </c>
    </row>
    <row r="255">
      <c r="A255" t="inlineStr">
        <is>
          <t>INV00254</t>
        </is>
      </c>
      <c r="B255" t="inlineStr">
        <is>
          <t>OUT006</t>
        </is>
      </c>
      <c r="C255" t="inlineStr">
        <is>
          <t>BP004</t>
        </is>
      </c>
      <c r="D255" t="n">
        <v>134</v>
      </c>
      <c r="E255" t="n">
        <v>55</v>
      </c>
      <c r="F255" t="n">
        <v>51</v>
      </c>
      <c r="G255" t="n">
        <v>137</v>
      </c>
      <c r="H255" t="n">
        <v>1</v>
      </c>
      <c r="I255" t="n">
        <v>28</v>
      </c>
      <c r="J255" t="inlineStr">
        <is>
          <t>Healthy</t>
        </is>
      </c>
      <c r="K255" t="n">
        <v>2</v>
      </c>
    </row>
    <row r="256">
      <c r="A256" t="inlineStr">
        <is>
          <t>INV00255</t>
        </is>
      </c>
      <c r="B256" t="inlineStr">
        <is>
          <t>OUT006</t>
        </is>
      </c>
      <c r="C256" t="inlineStr">
        <is>
          <t>BP005</t>
        </is>
      </c>
      <c r="D256" t="n">
        <v>147</v>
      </c>
      <c r="E256" t="n">
        <v>39</v>
      </c>
      <c r="F256" t="n">
        <v>63</v>
      </c>
      <c r="G256" t="n">
        <v>120</v>
      </c>
      <c r="H256" t="n">
        <v>3</v>
      </c>
      <c r="I256" t="n">
        <v>21</v>
      </c>
      <c r="J256" t="inlineStr">
        <is>
          <t>Healthy</t>
        </is>
      </c>
      <c r="K256" t="n">
        <v>4</v>
      </c>
    </row>
    <row r="257">
      <c r="A257" t="inlineStr">
        <is>
          <t>INV00256</t>
        </is>
      </c>
      <c r="B257" t="inlineStr">
        <is>
          <t>OUT006</t>
        </is>
      </c>
      <c r="C257" t="inlineStr">
        <is>
          <t>BP006</t>
        </is>
      </c>
      <c r="D257" t="n">
        <v>128</v>
      </c>
      <c r="E257" t="n">
        <v>85</v>
      </c>
      <c r="F257" t="n">
        <v>69</v>
      </c>
      <c r="G257" t="n">
        <v>144</v>
      </c>
      <c r="H257" t="n">
        <v>0</v>
      </c>
      <c r="I257" t="n">
        <v>34</v>
      </c>
      <c r="J257" t="inlineStr">
        <is>
          <t>Healthy</t>
        </is>
      </c>
      <c r="K257" t="n">
        <v>1</v>
      </c>
    </row>
    <row r="258">
      <c r="A258" t="inlineStr">
        <is>
          <t>INV00257</t>
        </is>
      </c>
      <c r="B258" t="inlineStr">
        <is>
          <t>OUT006</t>
        </is>
      </c>
      <c r="C258" t="inlineStr">
        <is>
          <t>BP007</t>
        </is>
      </c>
      <c r="D258" t="n">
        <v>101</v>
      </c>
      <c r="E258" t="n">
        <v>87</v>
      </c>
      <c r="F258" t="n">
        <v>131</v>
      </c>
      <c r="G258" t="n">
        <v>55</v>
      </c>
      <c r="H258" t="n">
        <v>2</v>
      </c>
      <c r="I258" t="n">
        <v>25</v>
      </c>
      <c r="J258" t="inlineStr">
        <is>
          <t>Healthy</t>
        </is>
      </c>
      <c r="K258" t="n">
        <v>5</v>
      </c>
    </row>
    <row r="259">
      <c r="A259" t="inlineStr">
        <is>
          <t>INV00258</t>
        </is>
      </c>
      <c r="B259" t="inlineStr">
        <is>
          <t>OUT006</t>
        </is>
      </c>
      <c r="C259" t="inlineStr">
        <is>
          <t>BP008</t>
        </is>
      </c>
      <c r="D259" t="n">
        <v>135</v>
      </c>
      <c r="E259" t="n">
        <v>51</v>
      </c>
      <c r="F259" t="n">
        <v>83</v>
      </c>
      <c r="G259" t="n">
        <v>102</v>
      </c>
      <c r="H259" t="n">
        <v>1</v>
      </c>
      <c r="I259" t="n">
        <v>19</v>
      </c>
      <c r="J259" t="inlineStr">
        <is>
          <t>Healthy</t>
        </is>
      </c>
      <c r="K259" t="n">
        <v>5</v>
      </c>
    </row>
    <row r="260">
      <c r="A260" t="inlineStr">
        <is>
          <t>INV00259</t>
        </is>
      </c>
      <c r="B260" t="inlineStr">
        <is>
          <t>OUT006</t>
        </is>
      </c>
      <c r="C260" t="inlineStr">
        <is>
          <t>BP009</t>
        </is>
      </c>
      <c r="D260" t="n">
        <v>144</v>
      </c>
      <c r="E260" t="n">
        <v>86</v>
      </c>
      <c r="F260" t="n">
        <v>133</v>
      </c>
      <c r="G260" t="n">
        <v>94</v>
      </c>
      <c r="H260" t="n">
        <v>3</v>
      </c>
      <c r="I260" t="n">
        <v>16</v>
      </c>
      <c r="J260" t="inlineStr">
        <is>
          <t>Healthy</t>
        </is>
      </c>
      <c r="K260" t="n">
        <v>3</v>
      </c>
    </row>
    <row r="261">
      <c r="A261" t="inlineStr">
        <is>
          <t>INV00260</t>
        </is>
      </c>
      <c r="B261" t="inlineStr">
        <is>
          <t>OUT006</t>
        </is>
      </c>
      <c r="C261" t="inlineStr">
        <is>
          <t>BP010</t>
        </is>
      </c>
      <c r="D261" t="n">
        <v>48</v>
      </c>
      <c r="E261" t="n">
        <v>21</v>
      </c>
      <c r="F261" t="n">
        <v>73</v>
      </c>
      <c r="G261" t="n">
        <v>0</v>
      </c>
      <c r="H261" t="n">
        <v>2</v>
      </c>
      <c r="I261" t="n">
        <v>36</v>
      </c>
      <c r="J261" t="inlineStr">
        <is>
          <t>Reorder Required</t>
        </is>
      </c>
      <c r="K261" t="n">
        <v>3</v>
      </c>
      <c r="L261" t="inlineStr">
        <is>
          <t>Restock immediately</t>
        </is>
      </c>
    </row>
    <row r="262">
      <c r="A262" t="inlineStr">
        <is>
          <t>INV00261</t>
        </is>
      </c>
      <c r="B262" t="inlineStr">
        <is>
          <t>OUT006</t>
        </is>
      </c>
      <c r="C262" t="inlineStr">
        <is>
          <t>BP011</t>
        </is>
      </c>
      <c r="D262" t="n">
        <v>72</v>
      </c>
      <c r="E262" t="n">
        <v>53</v>
      </c>
      <c r="F262" t="n">
        <v>95</v>
      </c>
      <c r="G262" t="n">
        <v>29</v>
      </c>
      <c r="H262" t="n">
        <v>1</v>
      </c>
      <c r="I262" t="n">
        <v>39</v>
      </c>
      <c r="J262" t="inlineStr">
        <is>
          <t>Reorder Required</t>
        </is>
      </c>
      <c r="K262" t="n">
        <v>5</v>
      </c>
      <c r="L262" t="inlineStr">
        <is>
          <t>Restock immediately</t>
        </is>
      </c>
    </row>
    <row r="263">
      <c r="A263" t="inlineStr">
        <is>
          <t>INV00262</t>
        </is>
      </c>
      <c r="B263" t="inlineStr">
        <is>
          <t>OUT006</t>
        </is>
      </c>
      <c r="C263" t="inlineStr">
        <is>
          <t>BP012</t>
        </is>
      </c>
      <c r="D263" t="n">
        <v>137</v>
      </c>
      <c r="E263" t="n">
        <v>78</v>
      </c>
      <c r="F263" t="n">
        <v>64</v>
      </c>
      <c r="G263" t="n">
        <v>151</v>
      </c>
      <c r="H263" t="n">
        <v>0</v>
      </c>
      <c r="I263" t="n">
        <v>28</v>
      </c>
      <c r="J263" t="inlineStr">
        <is>
          <t>Healthy</t>
        </is>
      </c>
      <c r="K263" t="n">
        <v>5</v>
      </c>
    </row>
    <row r="264">
      <c r="A264" t="inlineStr">
        <is>
          <t>INV00263</t>
        </is>
      </c>
      <c r="B264" t="inlineStr">
        <is>
          <t>OUT006</t>
        </is>
      </c>
      <c r="C264" t="inlineStr">
        <is>
          <t>BP013</t>
        </is>
      </c>
      <c r="D264" t="n">
        <v>136</v>
      </c>
      <c r="E264" t="n">
        <v>27</v>
      </c>
      <c r="F264" t="n">
        <v>57</v>
      </c>
      <c r="G264" t="n">
        <v>105</v>
      </c>
      <c r="H264" t="n">
        <v>1</v>
      </c>
      <c r="I264" t="n">
        <v>15</v>
      </c>
      <c r="J264" t="inlineStr">
        <is>
          <t>Healthy</t>
        </is>
      </c>
      <c r="K264" t="n">
        <v>5</v>
      </c>
    </row>
    <row r="265">
      <c r="A265" t="inlineStr">
        <is>
          <t>INV00264</t>
        </is>
      </c>
      <c r="B265" t="inlineStr">
        <is>
          <t>OUT006</t>
        </is>
      </c>
      <c r="C265" t="inlineStr">
        <is>
          <t>BP014</t>
        </is>
      </c>
      <c r="D265" t="n">
        <v>70</v>
      </c>
      <c r="E265" t="n">
        <v>40</v>
      </c>
      <c r="F265" t="n">
        <v>104</v>
      </c>
      <c r="G265" t="n">
        <v>4</v>
      </c>
      <c r="H265" t="n">
        <v>2</v>
      </c>
      <c r="I265" t="n">
        <v>32</v>
      </c>
      <c r="J265" t="inlineStr">
        <is>
          <t>Reorder Required</t>
        </is>
      </c>
      <c r="K265" t="n">
        <v>3</v>
      </c>
      <c r="L265" t="inlineStr">
        <is>
          <t>Restock immediately</t>
        </is>
      </c>
    </row>
    <row r="266">
      <c r="A266" t="inlineStr">
        <is>
          <t>INV00265</t>
        </is>
      </c>
      <c r="B266" t="inlineStr">
        <is>
          <t>OUT006</t>
        </is>
      </c>
      <c r="C266" t="inlineStr">
        <is>
          <t>BP015</t>
        </is>
      </c>
      <c r="D266" t="n">
        <v>64</v>
      </c>
      <c r="E266" t="n">
        <v>67</v>
      </c>
      <c r="F266" t="n">
        <v>65</v>
      </c>
      <c r="G266" t="n">
        <v>65</v>
      </c>
      <c r="H266" t="n">
        <v>1</v>
      </c>
      <c r="I266" t="n">
        <v>16</v>
      </c>
      <c r="J266" t="inlineStr">
        <is>
          <t>Healthy</t>
        </is>
      </c>
      <c r="K266" t="n">
        <v>2</v>
      </c>
    </row>
    <row r="267">
      <c r="A267" t="inlineStr">
        <is>
          <t>INV00266</t>
        </is>
      </c>
      <c r="B267" t="inlineStr">
        <is>
          <t>OUT006</t>
        </is>
      </c>
      <c r="C267" t="inlineStr">
        <is>
          <t>BP016</t>
        </is>
      </c>
      <c r="D267" t="n">
        <v>138</v>
      </c>
      <c r="E267" t="n">
        <v>86</v>
      </c>
      <c r="F267" t="n">
        <v>118</v>
      </c>
      <c r="G267" t="n">
        <v>105</v>
      </c>
      <c r="H267" t="n">
        <v>1</v>
      </c>
      <c r="I267" t="n">
        <v>17</v>
      </c>
      <c r="J267" t="inlineStr">
        <is>
          <t>Healthy</t>
        </is>
      </c>
      <c r="K267" t="n">
        <v>3</v>
      </c>
    </row>
    <row r="268">
      <c r="A268" t="inlineStr">
        <is>
          <t>INV00267</t>
        </is>
      </c>
      <c r="B268" t="inlineStr">
        <is>
          <t>OUT006</t>
        </is>
      </c>
      <c r="C268" t="inlineStr">
        <is>
          <t>BP017</t>
        </is>
      </c>
      <c r="D268" t="n">
        <v>108</v>
      </c>
      <c r="E268" t="n">
        <v>79</v>
      </c>
      <c r="F268" t="n">
        <v>68</v>
      </c>
      <c r="G268" t="n">
        <v>117</v>
      </c>
      <c r="H268" t="n">
        <v>2</v>
      </c>
      <c r="I268" t="n">
        <v>33</v>
      </c>
      <c r="J268" t="inlineStr">
        <is>
          <t>Healthy</t>
        </is>
      </c>
      <c r="K268" t="n">
        <v>2</v>
      </c>
    </row>
    <row r="269">
      <c r="A269" t="inlineStr">
        <is>
          <t>INV00268</t>
        </is>
      </c>
      <c r="B269" t="inlineStr">
        <is>
          <t>OUT006</t>
        </is>
      </c>
      <c r="C269" t="inlineStr">
        <is>
          <t>BP018</t>
        </is>
      </c>
      <c r="D269" t="n">
        <v>105</v>
      </c>
      <c r="E269" t="n">
        <v>56</v>
      </c>
      <c r="F269" t="n">
        <v>94</v>
      </c>
      <c r="G269" t="n">
        <v>64</v>
      </c>
      <c r="H269" t="n">
        <v>3</v>
      </c>
      <c r="I269" t="n">
        <v>37</v>
      </c>
      <c r="J269" t="inlineStr">
        <is>
          <t>Healthy</t>
        </is>
      </c>
      <c r="K269" t="n">
        <v>4</v>
      </c>
    </row>
    <row r="270">
      <c r="A270" t="inlineStr">
        <is>
          <t>INV00269</t>
        </is>
      </c>
      <c r="B270" t="inlineStr">
        <is>
          <t>OUT006</t>
        </is>
      </c>
      <c r="C270" t="inlineStr">
        <is>
          <t>BP019</t>
        </is>
      </c>
      <c r="D270" t="n">
        <v>131</v>
      </c>
      <c r="E270" t="n">
        <v>43</v>
      </c>
      <c r="F270" t="n">
        <v>99</v>
      </c>
      <c r="G270" t="n">
        <v>74</v>
      </c>
      <c r="H270" t="n">
        <v>1</v>
      </c>
      <c r="I270" t="n">
        <v>17</v>
      </c>
      <c r="J270" t="inlineStr">
        <is>
          <t>Healthy</t>
        </is>
      </c>
      <c r="K270" t="n">
        <v>1</v>
      </c>
    </row>
    <row r="271">
      <c r="A271" t="inlineStr">
        <is>
          <t>INV00270</t>
        </is>
      </c>
      <c r="B271" t="inlineStr">
        <is>
          <t>OUT006</t>
        </is>
      </c>
      <c r="C271" t="inlineStr">
        <is>
          <t>BP020</t>
        </is>
      </c>
      <c r="D271" t="n">
        <v>99</v>
      </c>
      <c r="E271" t="n">
        <v>22</v>
      </c>
      <c r="F271" t="n">
        <v>136</v>
      </c>
      <c r="G271" t="n">
        <v>0</v>
      </c>
      <c r="H271" t="n">
        <v>1</v>
      </c>
      <c r="I271" t="n">
        <v>19</v>
      </c>
      <c r="J271" t="inlineStr">
        <is>
          <t>Reorder Required</t>
        </is>
      </c>
      <c r="K271" t="n">
        <v>4</v>
      </c>
      <c r="L271" t="inlineStr">
        <is>
          <t>Restock immediately</t>
        </is>
      </c>
    </row>
    <row r="272">
      <c r="A272" t="inlineStr">
        <is>
          <t>INV00271</t>
        </is>
      </c>
      <c r="B272" t="inlineStr">
        <is>
          <t>OUT006</t>
        </is>
      </c>
      <c r="C272" t="inlineStr">
        <is>
          <t>BP021</t>
        </is>
      </c>
      <c r="D272" t="n">
        <v>88</v>
      </c>
      <c r="E272" t="n">
        <v>46</v>
      </c>
      <c r="F272" t="n">
        <v>107</v>
      </c>
      <c r="G272" t="n">
        <v>24</v>
      </c>
      <c r="H272" t="n">
        <v>3</v>
      </c>
      <c r="I272" t="n">
        <v>25</v>
      </c>
      <c r="J272" t="inlineStr">
        <is>
          <t>Reorder Required</t>
        </is>
      </c>
      <c r="K272" t="n">
        <v>3</v>
      </c>
      <c r="L272" t="inlineStr">
        <is>
          <t>Restock immediately</t>
        </is>
      </c>
    </row>
    <row r="273">
      <c r="A273" t="inlineStr">
        <is>
          <t>INV00272</t>
        </is>
      </c>
      <c r="B273" t="inlineStr">
        <is>
          <t>OUT006</t>
        </is>
      </c>
      <c r="C273" t="inlineStr">
        <is>
          <t>BP022</t>
        </is>
      </c>
      <c r="D273" t="n">
        <v>148</v>
      </c>
      <c r="E273" t="n">
        <v>94</v>
      </c>
      <c r="F273" t="n">
        <v>30</v>
      </c>
      <c r="G273" t="n">
        <v>210</v>
      </c>
      <c r="H273" t="n">
        <v>2</v>
      </c>
      <c r="I273" t="n">
        <v>35</v>
      </c>
      <c r="J273" t="inlineStr">
        <is>
          <t>Healthy</t>
        </is>
      </c>
      <c r="K273" t="n">
        <v>1</v>
      </c>
    </row>
    <row r="274">
      <c r="A274" t="inlineStr">
        <is>
          <t>INV00273</t>
        </is>
      </c>
      <c r="B274" t="inlineStr">
        <is>
          <t>OUT006</t>
        </is>
      </c>
      <c r="C274" t="inlineStr">
        <is>
          <t>BP023</t>
        </is>
      </c>
      <c r="D274" t="n">
        <v>105</v>
      </c>
      <c r="E274" t="n">
        <v>49</v>
      </c>
      <c r="F274" t="n">
        <v>86</v>
      </c>
      <c r="G274" t="n">
        <v>65</v>
      </c>
      <c r="H274" t="n">
        <v>3</v>
      </c>
      <c r="I274" t="n">
        <v>18</v>
      </c>
      <c r="J274" t="inlineStr">
        <is>
          <t>Healthy</t>
        </is>
      </c>
      <c r="K274" t="n">
        <v>2</v>
      </c>
    </row>
    <row r="275">
      <c r="A275" t="inlineStr">
        <is>
          <t>INV00274</t>
        </is>
      </c>
      <c r="B275" t="inlineStr">
        <is>
          <t>OUT006</t>
        </is>
      </c>
      <c r="C275" t="inlineStr">
        <is>
          <t>BP024</t>
        </is>
      </c>
      <c r="D275" t="n">
        <v>129</v>
      </c>
      <c r="E275" t="n">
        <v>68</v>
      </c>
      <c r="F275" t="n">
        <v>129</v>
      </c>
      <c r="G275" t="n">
        <v>67</v>
      </c>
      <c r="H275" t="n">
        <v>1</v>
      </c>
      <c r="I275" t="n">
        <v>29</v>
      </c>
      <c r="J275" t="inlineStr">
        <is>
          <t>Healthy</t>
        </is>
      </c>
      <c r="K275" t="n">
        <v>5</v>
      </c>
    </row>
    <row r="276">
      <c r="A276" t="inlineStr">
        <is>
          <t>INV00275</t>
        </is>
      </c>
      <c r="B276" t="inlineStr">
        <is>
          <t>OUT006</t>
        </is>
      </c>
      <c r="C276" t="inlineStr">
        <is>
          <t>BP025</t>
        </is>
      </c>
      <c r="D276" t="n">
        <v>133</v>
      </c>
      <c r="E276" t="n">
        <v>94</v>
      </c>
      <c r="F276" t="n">
        <v>121</v>
      </c>
      <c r="G276" t="n">
        <v>105</v>
      </c>
      <c r="H276" t="n">
        <v>1</v>
      </c>
      <c r="I276" t="n">
        <v>36</v>
      </c>
      <c r="J276" t="inlineStr">
        <is>
          <t>Healthy</t>
        </is>
      </c>
      <c r="K276" t="n">
        <v>3</v>
      </c>
    </row>
    <row r="277">
      <c r="A277" t="inlineStr">
        <is>
          <t>INV00276</t>
        </is>
      </c>
      <c r="B277" t="inlineStr">
        <is>
          <t>OUT006</t>
        </is>
      </c>
      <c r="C277" t="inlineStr">
        <is>
          <t>BP026</t>
        </is>
      </c>
      <c r="D277" t="n">
        <v>40</v>
      </c>
      <c r="E277" t="n">
        <v>88</v>
      </c>
      <c r="F277" t="n">
        <v>87</v>
      </c>
      <c r="G277" t="n">
        <v>39</v>
      </c>
      <c r="H277" t="n">
        <v>2</v>
      </c>
      <c r="I277" t="n">
        <v>36</v>
      </c>
      <c r="J277" t="inlineStr">
        <is>
          <t>Healthy</t>
        </is>
      </c>
      <c r="K277" t="n">
        <v>2</v>
      </c>
    </row>
    <row r="278">
      <c r="A278" t="inlineStr">
        <is>
          <t>INV00277</t>
        </is>
      </c>
      <c r="B278" t="inlineStr">
        <is>
          <t>OUT006</t>
        </is>
      </c>
      <c r="C278" t="inlineStr">
        <is>
          <t>BP027</t>
        </is>
      </c>
      <c r="D278" t="n">
        <v>131</v>
      </c>
      <c r="E278" t="n">
        <v>82</v>
      </c>
      <c r="F278" t="n">
        <v>113</v>
      </c>
      <c r="G278" t="n">
        <v>98</v>
      </c>
      <c r="H278" t="n">
        <v>2</v>
      </c>
      <c r="I278" t="n">
        <v>24</v>
      </c>
      <c r="J278" t="inlineStr">
        <is>
          <t>Healthy</t>
        </is>
      </c>
      <c r="K278" t="n">
        <v>1</v>
      </c>
    </row>
    <row r="279">
      <c r="A279" t="inlineStr">
        <is>
          <t>INV00278</t>
        </is>
      </c>
      <c r="B279" t="inlineStr">
        <is>
          <t>OUT006</t>
        </is>
      </c>
      <c r="C279" t="inlineStr">
        <is>
          <t>BP028</t>
        </is>
      </c>
      <c r="D279" t="n">
        <v>137</v>
      </c>
      <c r="E279" t="n">
        <v>64</v>
      </c>
      <c r="F279" t="n">
        <v>75</v>
      </c>
      <c r="G279" t="n">
        <v>125</v>
      </c>
      <c r="H279" t="n">
        <v>1</v>
      </c>
      <c r="I279" t="n">
        <v>37</v>
      </c>
      <c r="J279" t="inlineStr">
        <is>
          <t>Healthy</t>
        </is>
      </c>
      <c r="K279" t="n">
        <v>4</v>
      </c>
    </row>
    <row r="280">
      <c r="A280" t="inlineStr">
        <is>
          <t>INV00279</t>
        </is>
      </c>
      <c r="B280" t="inlineStr">
        <is>
          <t>OUT006</t>
        </is>
      </c>
      <c r="C280" t="inlineStr">
        <is>
          <t>BP029</t>
        </is>
      </c>
      <c r="D280" t="n">
        <v>119</v>
      </c>
      <c r="E280" t="n">
        <v>50</v>
      </c>
      <c r="F280" t="n">
        <v>110</v>
      </c>
      <c r="G280" t="n">
        <v>58</v>
      </c>
      <c r="H280" t="n">
        <v>1</v>
      </c>
      <c r="I280" t="n">
        <v>32</v>
      </c>
      <c r="J280" t="inlineStr">
        <is>
          <t>Healthy</t>
        </is>
      </c>
      <c r="K280" t="n">
        <v>5</v>
      </c>
    </row>
    <row r="281">
      <c r="A281" t="inlineStr">
        <is>
          <t>INV00280</t>
        </is>
      </c>
      <c r="B281" t="inlineStr">
        <is>
          <t>OUT006</t>
        </is>
      </c>
      <c r="C281" t="inlineStr">
        <is>
          <t>BP030</t>
        </is>
      </c>
      <c r="D281" t="n">
        <v>148</v>
      </c>
      <c r="E281" t="n">
        <v>38</v>
      </c>
      <c r="F281" t="n">
        <v>76</v>
      </c>
      <c r="G281" t="n">
        <v>104</v>
      </c>
      <c r="H281" t="n">
        <v>6</v>
      </c>
      <c r="I281" t="n">
        <v>33</v>
      </c>
      <c r="J281" t="inlineStr">
        <is>
          <t>Healthy</t>
        </is>
      </c>
      <c r="K281" t="n">
        <v>3</v>
      </c>
    </row>
    <row r="282">
      <c r="A282" t="inlineStr">
        <is>
          <t>INV00281</t>
        </is>
      </c>
      <c r="B282" t="inlineStr">
        <is>
          <t>OUT006</t>
        </is>
      </c>
      <c r="C282" t="inlineStr">
        <is>
          <t>BP031</t>
        </is>
      </c>
      <c r="D282" t="n">
        <v>102</v>
      </c>
      <c r="E282" t="n">
        <v>46</v>
      </c>
      <c r="F282" t="n">
        <v>118</v>
      </c>
      <c r="G282" t="n">
        <v>28</v>
      </c>
      <c r="H282" t="n">
        <v>2</v>
      </c>
      <c r="I282" t="n">
        <v>18</v>
      </c>
      <c r="J282" t="inlineStr">
        <is>
          <t>Healthy</t>
        </is>
      </c>
      <c r="K282" t="n">
        <v>1</v>
      </c>
    </row>
    <row r="283">
      <c r="A283" t="inlineStr">
        <is>
          <t>INV00282</t>
        </is>
      </c>
      <c r="B283" t="inlineStr">
        <is>
          <t>OUT006</t>
        </is>
      </c>
      <c r="C283" t="inlineStr">
        <is>
          <t>BP032</t>
        </is>
      </c>
      <c r="D283" t="n">
        <v>48</v>
      </c>
      <c r="E283" t="n">
        <v>71</v>
      </c>
      <c r="F283" t="n">
        <v>109</v>
      </c>
      <c r="G283" t="n">
        <v>3</v>
      </c>
      <c r="H283" t="n">
        <v>7</v>
      </c>
      <c r="I283" t="n">
        <v>28</v>
      </c>
      <c r="J283" t="inlineStr">
        <is>
          <t>Reorder Required</t>
        </is>
      </c>
      <c r="K283" t="n">
        <v>3</v>
      </c>
      <c r="L283" t="inlineStr">
        <is>
          <t>Restock immediately</t>
        </is>
      </c>
    </row>
    <row r="284">
      <c r="A284" t="inlineStr">
        <is>
          <t>INV00283</t>
        </is>
      </c>
      <c r="B284" t="inlineStr">
        <is>
          <t>OUT006</t>
        </is>
      </c>
      <c r="C284" t="inlineStr">
        <is>
          <t>BP033</t>
        </is>
      </c>
      <c r="D284" t="n">
        <v>102</v>
      </c>
      <c r="E284" t="n">
        <v>71</v>
      </c>
      <c r="F284" t="n">
        <v>33</v>
      </c>
      <c r="G284" t="n">
        <v>132</v>
      </c>
      <c r="H284" t="n">
        <v>8</v>
      </c>
      <c r="I284" t="n">
        <v>27</v>
      </c>
      <c r="J284" t="inlineStr">
        <is>
          <t>Healthy</t>
        </is>
      </c>
      <c r="K284" t="n">
        <v>4</v>
      </c>
    </row>
    <row r="285">
      <c r="A285" t="inlineStr">
        <is>
          <t>INV00284</t>
        </is>
      </c>
      <c r="B285" t="inlineStr">
        <is>
          <t>OUT006</t>
        </is>
      </c>
      <c r="C285" t="inlineStr">
        <is>
          <t>BP034</t>
        </is>
      </c>
      <c r="D285" t="n">
        <v>91</v>
      </c>
      <c r="E285" t="n">
        <v>66</v>
      </c>
      <c r="F285" t="n">
        <v>41</v>
      </c>
      <c r="G285" t="n">
        <v>109</v>
      </c>
      <c r="H285" t="n">
        <v>7</v>
      </c>
      <c r="I285" t="n">
        <v>15</v>
      </c>
      <c r="J285" t="inlineStr">
        <is>
          <t>Healthy</t>
        </is>
      </c>
      <c r="K285" t="n">
        <v>3</v>
      </c>
    </row>
    <row r="286">
      <c r="A286" t="inlineStr">
        <is>
          <t>INV00285</t>
        </is>
      </c>
      <c r="B286" t="inlineStr">
        <is>
          <t>OUT006</t>
        </is>
      </c>
      <c r="C286" t="inlineStr">
        <is>
          <t>BP035</t>
        </is>
      </c>
      <c r="D286" t="n">
        <v>60</v>
      </c>
      <c r="E286" t="n">
        <v>28</v>
      </c>
      <c r="F286" t="n">
        <v>32</v>
      </c>
      <c r="G286" t="n">
        <v>52</v>
      </c>
      <c r="H286" t="n">
        <v>4</v>
      </c>
      <c r="I286" t="n">
        <v>18</v>
      </c>
      <c r="J286" t="inlineStr">
        <is>
          <t>Healthy</t>
        </is>
      </c>
      <c r="K286" t="n">
        <v>2</v>
      </c>
    </row>
    <row r="287">
      <c r="A287" t="inlineStr">
        <is>
          <t>INV00286</t>
        </is>
      </c>
      <c r="B287" t="inlineStr">
        <is>
          <t>OUT006</t>
        </is>
      </c>
      <c r="C287" t="inlineStr">
        <is>
          <t>BP036</t>
        </is>
      </c>
      <c r="D287" t="n">
        <v>64</v>
      </c>
      <c r="E287" t="n">
        <v>61</v>
      </c>
      <c r="F287" t="n">
        <v>88</v>
      </c>
      <c r="G287" t="n">
        <v>32</v>
      </c>
      <c r="H287" t="n">
        <v>5</v>
      </c>
      <c r="I287" t="n">
        <v>32</v>
      </c>
      <c r="J287" t="inlineStr">
        <is>
          <t>Reorder Required</t>
        </is>
      </c>
      <c r="K287" t="n">
        <v>3</v>
      </c>
      <c r="L287" t="inlineStr">
        <is>
          <t>Restock immediately</t>
        </is>
      </c>
    </row>
    <row r="288">
      <c r="A288" t="inlineStr">
        <is>
          <t>INV00287</t>
        </is>
      </c>
      <c r="B288" t="inlineStr">
        <is>
          <t>OUT006</t>
        </is>
      </c>
      <c r="C288" t="inlineStr">
        <is>
          <t>BP037</t>
        </is>
      </c>
      <c r="D288" t="n">
        <v>110</v>
      </c>
      <c r="E288" t="n">
        <v>99</v>
      </c>
      <c r="F288" t="n">
        <v>137</v>
      </c>
      <c r="G288" t="n">
        <v>68</v>
      </c>
      <c r="H288" t="n">
        <v>4</v>
      </c>
      <c r="I288" t="n">
        <v>40</v>
      </c>
      <c r="J288" t="inlineStr">
        <is>
          <t>Healthy</t>
        </is>
      </c>
      <c r="K288" t="n">
        <v>1</v>
      </c>
    </row>
    <row r="289">
      <c r="A289" t="inlineStr">
        <is>
          <t>INV00288</t>
        </is>
      </c>
      <c r="B289" t="inlineStr">
        <is>
          <t>OUT006</t>
        </is>
      </c>
      <c r="C289" t="inlineStr">
        <is>
          <t>BP038</t>
        </is>
      </c>
      <c r="D289" t="n">
        <v>83</v>
      </c>
      <c r="E289" t="n">
        <v>61</v>
      </c>
      <c r="F289" t="n">
        <v>131</v>
      </c>
      <c r="G289" t="n">
        <v>11</v>
      </c>
      <c r="H289" t="n">
        <v>2</v>
      </c>
      <c r="I289" t="n">
        <v>28</v>
      </c>
      <c r="J289" t="inlineStr">
        <is>
          <t>Reorder Required</t>
        </is>
      </c>
      <c r="K289" t="n">
        <v>3</v>
      </c>
      <c r="L289" t="inlineStr">
        <is>
          <t>Restock immediately</t>
        </is>
      </c>
    </row>
    <row r="290">
      <c r="A290" t="inlineStr">
        <is>
          <t>INV00289</t>
        </is>
      </c>
      <c r="B290" t="inlineStr">
        <is>
          <t>OUT006</t>
        </is>
      </c>
      <c r="C290" t="inlineStr">
        <is>
          <t>BP039</t>
        </is>
      </c>
      <c r="D290" t="n">
        <v>57</v>
      </c>
      <c r="E290" t="n">
        <v>24</v>
      </c>
      <c r="F290" t="n">
        <v>105</v>
      </c>
      <c r="G290" t="n">
        <v>0</v>
      </c>
      <c r="H290" t="n">
        <v>4</v>
      </c>
      <c r="I290" t="n">
        <v>31</v>
      </c>
      <c r="J290" t="inlineStr">
        <is>
          <t>Reorder Required</t>
        </is>
      </c>
      <c r="K290" t="n">
        <v>1</v>
      </c>
      <c r="L290" t="inlineStr">
        <is>
          <t>Restock immediately</t>
        </is>
      </c>
    </row>
    <row r="291">
      <c r="A291" t="inlineStr">
        <is>
          <t>INV00290</t>
        </is>
      </c>
      <c r="B291" t="inlineStr">
        <is>
          <t>OUT006</t>
        </is>
      </c>
      <c r="C291" t="inlineStr">
        <is>
          <t>BP040</t>
        </is>
      </c>
      <c r="D291" t="n">
        <v>120</v>
      </c>
      <c r="E291" t="n">
        <v>40</v>
      </c>
      <c r="F291" t="n">
        <v>43</v>
      </c>
      <c r="G291" t="n">
        <v>113</v>
      </c>
      <c r="H291" t="n">
        <v>4</v>
      </c>
      <c r="I291" t="n">
        <v>35</v>
      </c>
      <c r="J291" t="inlineStr">
        <is>
          <t>Healthy</t>
        </is>
      </c>
      <c r="K291" t="n">
        <v>4</v>
      </c>
    </row>
    <row r="292">
      <c r="A292" t="inlineStr">
        <is>
          <t>INV00291</t>
        </is>
      </c>
      <c r="B292" t="inlineStr">
        <is>
          <t>OUT006</t>
        </is>
      </c>
      <c r="C292" t="inlineStr">
        <is>
          <t>BP041</t>
        </is>
      </c>
      <c r="D292" t="n">
        <v>58</v>
      </c>
      <c r="E292" t="n">
        <v>32</v>
      </c>
      <c r="F292" t="n">
        <v>118</v>
      </c>
      <c r="G292" t="n">
        <v>0</v>
      </c>
      <c r="H292" t="n">
        <v>2</v>
      </c>
      <c r="I292" t="n">
        <v>21</v>
      </c>
      <c r="J292" t="inlineStr">
        <is>
          <t>Reorder Required</t>
        </is>
      </c>
      <c r="K292" t="n">
        <v>4</v>
      </c>
      <c r="L292" t="inlineStr">
        <is>
          <t>Restock immediately</t>
        </is>
      </c>
    </row>
    <row r="293">
      <c r="A293" t="inlineStr">
        <is>
          <t>INV00292</t>
        </is>
      </c>
      <c r="B293" t="inlineStr">
        <is>
          <t>OUT006</t>
        </is>
      </c>
      <c r="C293" t="inlineStr">
        <is>
          <t>BP042</t>
        </is>
      </c>
      <c r="D293" t="n">
        <v>133</v>
      </c>
      <c r="E293" t="n">
        <v>75</v>
      </c>
      <c r="F293" t="n">
        <v>63</v>
      </c>
      <c r="G293" t="n">
        <v>144</v>
      </c>
      <c r="H293" t="n">
        <v>1</v>
      </c>
      <c r="I293" t="n">
        <v>34</v>
      </c>
      <c r="J293" t="inlineStr">
        <is>
          <t>Healthy</t>
        </is>
      </c>
      <c r="K293" t="n">
        <v>1</v>
      </c>
    </row>
    <row r="294">
      <c r="A294" t="inlineStr">
        <is>
          <t>INV00293</t>
        </is>
      </c>
      <c r="B294" t="inlineStr">
        <is>
          <t>OUT006</t>
        </is>
      </c>
      <c r="C294" t="inlineStr">
        <is>
          <t>BP043</t>
        </is>
      </c>
      <c r="D294" t="n">
        <v>114</v>
      </c>
      <c r="E294" t="n">
        <v>51</v>
      </c>
      <c r="F294" t="n">
        <v>90</v>
      </c>
      <c r="G294" t="n">
        <v>72</v>
      </c>
      <c r="H294" t="n">
        <v>3</v>
      </c>
      <c r="I294" t="n">
        <v>35</v>
      </c>
      <c r="J294" t="inlineStr">
        <is>
          <t>Healthy</t>
        </is>
      </c>
      <c r="K294" t="n">
        <v>3</v>
      </c>
    </row>
    <row r="295">
      <c r="A295" t="inlineStr">
        <is>
          <t>INV00294</t>
        </is>
      </c>
      <c r="B295" t="inlineStr">
        <is>
          <t>OUT006</t>
        </is>
      </c>
      <c r="C295" t="inlineStr">
        <is>
          <t>BP044</t>
        </is>
      </c>
      <c r="D295" t="n">
        <v>43</v>
      </c>
      <c r="E295" t="n">
        <v>41</v>
      </c>
      <c r="F295" t="n">
        <v>51</v>
      </c>
      <c r="G295" t="n">
        <v>32</v>
      </c>
      <c r="H295" t="n">
        <v>1</v>
      </c>
      <c r="I295" t="n">
        <v>39</v>
      </c>
      <c r="J295" t="inlineStr">
        <is>
          <t>Reorder Required</t>
        </is>
      </c>
      <c r="K295" t="n">
        <v>3</v>
      </c>
      <c r="L295" t="inlineStr">
        <is>
          <t>Restock immediately</t>
        </is>
      </c>
    </row>
    <row r="296">
      <c r="A296" t="inlineStr">
        <is>
          <t>INV00295</t>
        </is>
      </c>
      <c r="B296" t="inlineStr">
        <is>
          <t>OUT006</t>
        </is>
      </c>
      <c r="C296" t="inlineStr">
        <is>
          <t>BP045</t>
        </is>
      </c>
      <c r="D296" t="n">
        <v>62</v>
      </c>
      <c r="E296" t="n">
        <v>66</v>
      </c>
      <c r="F296" t="n">
        <v>33</v>
      </c>
      <c r="G296" t="n">
        <v>95</v>
      </c>
      <c r="H296" t="n">
        <v>0</v>
      </c>
      <c r="I296" t="n">
        <v>38</v>
      </c>
      <c r="J296" t="inlineStr">
        <is>
          <t>Healthy</t>
        </is>
      </c>
      <c r="K296" t="n">
        <v>5</v>
      </c>
    </row>
    <row r="297">
      <c r="A297" t="inlineStr">
        <is>
          <t>INV00296</t>
        </is>
      </c>
      <c r="B297" t="inlineStr">
        <is>
          <t>OUT006</t>
        </is>
      </c>
      <c r="C297" t="inlineStr">
        <is>
          <t>BP046</t>
        </is>
      </c>
      <c r="D297" t="n">
        <v>101</v>
      </c>
      <c r="E297" t="n">
        <v>35</v>
      </c>
      <c r="F297" t="n">
        <v>34</v>
      </c>
      <c r="G297" t="n">
        <v>101</v>
      </c>
      <c r="H297" t="n">
        <v>1</v>
      </c>
      <c r="I297" t="n">
        <v>22</v>
      </c>
      <c r="J297" t="inlineStr">
        <is>
          <t>Healthy</t>
        </is>
      </c>
      <c r="K297" t="n">
        <v>3</v>
      </c>
    </row>
    <row r="298">
      <c r="A298" t="inlineStr">
        <is>
          <t>INV00297</t>
        </is>
      </c>
      <c r="B298" t="inlineStr">
        <is>
          <t>OUT006</t>
        </is>
      </c>
      <c r="C298" t="inlineStr">
        <is>
          <t>BP047</t>
        </is>
      </c>
      <c r="D298" t="n">
        <v>103</v>
      </c>
      <c r="E298" t="n">
        <v>95</v>
      </c>
      <c r="F298" t="n">
        <v>139</v>
      </c>
      <c r="G298" t="n">
        <v>56</v>
      </c>
      <c r="H298" t="n">
        <v>3</v>
      </c>
      <c r="I298" t="n">
        <v>33</v>
      </c>
      <c r="J298" t="inlineStr">
        <is>
          <t>Healthy</t>
        </is>
      </c>
      <c r="K298" t="n">
        <v>2</v>
      </c>
    </row>
    <row r="299">
      <c r="A299" t="inlineStr">
        <is>
          <t>INV00298</t>
        </is>
      </c>
      <c r="B299" t="inlineStr">
        <is>
          <t>OUT006</t>
        </is>
      </c>
      <c r="C299" t="inlineStr">
        <is>
          <t>BP048</t>
        </is>
      </c>
      <c r="D299" t="n">
        <v>141</v>
      </c>
      <c r="E299" t="n">
        <v>76</v>
      </c>
      <c r="F299" t="n">
        <v>95</v>
      </c>
      <c r="G299" t="n">
        <v>119</v>
      </c>
      <c r="H299" t="n">
        <v>3</v>
      </c>
      <c r="I299" t="n">
        <v>38</v>
      </c>
      <c r="J299" t="inlineStr">
        <is>
          <t>Healthy</t>
        </is>
      </c>
      <c r="K299" t="n">
        <v>4</v>
      </c>
    </row>
    <row r="300">
      <c r="A300" t="inlineStr">
        <is>
          <t>INV00299</t>
        </is>
      </c>
      <c r="B300" t="inlineStr">
        <is>
          <t>OUT006</t>
        </is>
      </c>
      <c r="C300" t="inlineStr">
        <is>
          <t>BP049</t>
        </is>
      </c>
      <c r="D300" t="n">
        <v>67</v>
      </c>
      <c r="E300" t="n">
        <v>23</v>
      </c>
      <c r="F300" t="n">
        <v>113</v>
      </c>
      <c r="G300" t="n">
        <v>0</v>
      </c>
      <c r="H300" t="n">
        <v>1</v>
      </c>
      <c r="I300" t="n">
        <v>24</v>
      </c>
      <c r="J300" t="inlineStr">
        <is>
          <t>Reorder Required</t>
        </is>
      </c>
      <c r="K300" t="n">
        <v>1</v>
      </c>
      <c r="L300" t="inlineStr">
        <is>
          <t>Restock immediately</t>
        </is>
      </c>
    </row>
    <row r="301">
      <c r="A301" t="inlineStr">
        <is>
          <t>INV00300</t>
        </is>
      </c>
      <c r="B301" t="inlineStr">
        <is>
          <t>OUT006</t>
        </is>
      </c>
      <c r="C301" t="inlineStr">
        <is>
          <t>BP050</t>
        </is>
      </c>
      <c r="D301" t="n">
        <v>81</v>
      </c>
      <c r="E301" t="n">
        <v>76</v>
      </c>
      <c r="F301" t="n">
        <v>60</v>
      </c>
      <c r="G301" t="n">
        <v>97</v>
      </c>
      <c r="H301" t="n">
        <v>0</v>
      </c>
      <c r="I301" t="n">
        <v>36</v>
      </c>
      <c r="J301" t="inlineStr">
        <is>
          <t>Healthy</t>
        </is>
      </c>
      <c r="K301" t="n">
        <v>4</v>
      </c>
    </row>
    <row r="302">
      <c r="A302" t="inlineStr">
        <is>
          <t>INV00301</t>
        </is>
      </c>
      <c r="B302" t="inlineStr">
        <is>
          <t>OUT007</t>
        </is>
      </c>
      <c r="C302" t="inlineStr">
        <is>
          <t>BP001</t>
        </is>
      </c>
      <c r="D302" t="n">
        <v>100</v>
      </c>
      <c r="E302" t="n">
        <v>52</v>
      </c>
      <c r="F302" t="n">
        <v>49</v>
      </c>
      <c r="G302" t="n">
        <v>101</v>
      </c>
      <c r="H302" t="n">
        <v>2</v>
      </c>
      <c r="I302" t="n">
        <v>26</v>
      </c>
      <c r="J302" t="inlineStr">
        <is>
          <t>Healthy</t>
        </is>
      </c>
      <c r="K302" t="n">
        <v>4</v>
      </c>
    </row>
    <row r="303">
      <c r="A303" t="inlineStr">
        <is>
          <t>INV00302</t>
        </is>
      </c>
      <c r="B303" t="inlineStr">
        <is>
          <t>OUT007</t>
        </is>
      </c>
      <c r="C303" t="inlineStr">
        <is>
          <t>BP002</t>
        </is>
      </c>
      <c r="D303" t="n">
        <v>93</v>
      </c>
      <c r="E303" t="n">
        <v>75</v>
      </c>
      <c r="F303" t="n">
        <v>81</v>
      </c>
      <c r="G303" t="n">
        <v>84</v>
      </c>
      <c r="H303" t="n">
        <v>3</v>
      </c>
      <c r="I303" t="n">
        <v>35</v>
      </c>
      <c r="J303" t="inlineStr">
        <is>
          <t>Healthy</t>
        </is>
      </c>
      <c r="K303" t="n">
        <v>4</v>
      </c>
    </row>
    <row r="304">
      <c r="A304" t="inlineStr">
        <is>
          <t>INV00303</t>
        </is>
      </c>
      <c r="B304" t="inlineStr">
        <is>
          <t>OUT007</t>
        </is>
      </c>
      <c r="C304" t="inlineStr">
        <is>
          <t>BP003</t>
        </is>
      </c>
      <c r="D304" t="n">
        <v>67</v>
      </c>
      <c r="E304" t="n">
        <v>91</v>
      </c>
      <c r="F304" t="n">
        <v>58</v>
      </c>
      <c r="G304" t="n">
        <v>97</v>
      </c>
      <c r="H304" t="n">
        <v>3</v>
      </c>
      <c r="I304" t="n">
        <v>25</v>
      </c>
      <c r="J304" t="inlineStr">
        <is>
          <t>Healthy</t>
        </is>
      </c>
      <c r="K304" t="n">
        <v>1</v>
      </c>
    </row>
    <row r="305">
      <c r="A305" t="inlineStr">
        <is>
          <t>INV00304</t>
        </is>
      </c>
      <c r="B305" t="inlineStr">
        <is>
          <t>OUT007</t>
        </is>
      </c>
      <c r="C305" t="inlineStr">
        <is>
          <t>BP004</t>
        </is>
      </c>
      <c r="D305" t="n">
        <v>113</v>
      </c>
      <c r="E305" t="n">
        <v>53</v>
      </c>
      <c r="F305" t="n">
        <v>101</v>
      </c>
      <c r="G305" t="n">
        <v>63</v>
      </c>
      <c r="H305" t="n">
        <v>2</v>
      </c>
      <c r="I305" t="n">
        <v>35</v>
      </c>
      <c r="J305" t="inlineStr">
        <is>
          <t>Healthy</t>
        </is>
      </c>
      <c r="K305" t="n">
        <v>3</v>
      </c>
    </row>
    <row r="306">
      <c r="A306" t="inlineStr">
        <is>
          <t>INV00305</t>
        </is>
      </c>
      <c r="B306" t="inlineStr">
        <is>
          <t>OUT007</t>
        </is>
      </c>
      <c r="C306" t="inlineStr">
        <is>
          <t>BP005</t>
        </is>
      </c>
      <c r="D306" t="n">
        <v>101</v>
      </c>
      <c r="E306" t="n">
        <v>67</v>
      </c>
      <c r="F306" t="n">
        <v>63</v>
      </c>
      <c r="G306" t="n">
        <v>104</v>
      </c>
      <c r="H306" t="n">
        <v>1</v>
      </c>
      <c r="I306" t="n">
        <v>39</v>
      </c>
      <c r="J306" t="inlineStr">
        <is>
          <t>Healthy</t>
        </is>
      </c>
      <c r="K306" t="n">
        <v>5</v>
      </c>
    </row>
    <row r="307">
      <c r="A307" t="inlineStr">
        <is>
          <t>INV00306</t>
        </is>
      </c>
      <c r="B307" t="inlineStr">
        <is>
          <t>OUT007</t>
        </is>
      </c>
      <c r="C307" t="inlineStr">
        <is>
          <t>BP006</t>
        </is>
      </c>
      <c r="D307" t="n">
        <v>138</v>
      </c>
      <c r="E307" t="n">
        <v>33</v>
      </c>
      <c r="F307" t="n">
        <v>31</v>
      </c>
      <c r="G307" t="n">
        <v>140</v>
      </c>
      <c r="H307" t="n">
        <v>0</v>
      </c>
      <c r="I307" t="n">
        <v>36</v>
      </c>
      <c r="J307" t="inlineStr">
        <is>
          <t>Healthy</t>
        </is>
      </c>
      <c r="K307" t="n">
        <v>4</v>
      </c>
    </row>
    <row r="308">
      <c r="A308" t="inlineStr">
        <is>
          <t>INV00307</t>
        </is>
      </c>
      <c r="B308" t="inlineStr">
        <is>
          <t>OUT007</t>
        </is>
      </c>
      <c r="C308" t="inlineStr">
        <is>
          <t>BP007</t>
        </is>
      </c>
      <c r="D308" t="n">
        <v>87</v>
      </c>
      <c r="E308" t="n">
        <v>64</v>
      </c>
      <c r="F308" t="n">
        <v>59</v>
      </c>
      <c r="G308" t="n">
        <v>91</v>
      </c>
      <c r="H308" t="n">
        <v>1</v>
      </c>
      <c r="I308" t="n">
        <v>29</v>
      </c>
      <c r="J308" t="inlineStr">
        <is>
          <t>Healthy</t>
        </is>
      </c>
      <c r="K308" t="n">
        <v>1</v>
      </c>
    </row>
    <row r="309">
      <c r="A309" t="inlineStr">
        <is>
          <t>INV00308</t>
        </is>
      </c>
      <c r="B309" t="inlineStr">
        <is>
          <t>OUT007</t>
        </is>
      </c>
      <c r="C309" t="inlineStr">
        <is>
          <t>BP008</t>
        </is>
      </c>
      <c r="D309" t="n">
        <v>79</v>
      </c>
      <c r="E309" t="n">
        <v>46</v>
      </c>
      <c r="F309" t="n">
        <v>86</v>
      </c>
      <c r="G309" t="n">
        <v>39</v>
      </c>
      <c r="H309" t="n">
        <v>0</v>
      </c>
      <c r="I309" t="n">
        <v>25</v>
      </c>
      <c r="J309" t="inlineStr">
        <is>
          <t>Healthy</t>
        </is>
      </c>
      <c r="K309" t="n">
        <v>1</v>
      </c>
    </row>
    <row r="310">
      <c r="A310" t="inlineStr">
        <is>
          <t>INV00309</t>
        </is>
      </c>
      <c r="B310" t="inlineStr">
        <is>
          <t>OUT007</t>
        </is>
      </c>
      <c r="C310" t="inlineStr">
        <is>
          <t>BP009</t>
        </is>
      </c>
      <c r="D310" t="n">
        <v>127</v>
      </c>
      <c r="E310" t="n">
        <v>99</v>
      </c>
      <c r="F310" t="n">
        <v>43</v>
      </c>
      <c r="G310" t="n">
        <v>180</v>
      </c>
      <c r="H310" t="n">
        <v>3</v>
      </c>
      <c r="I310" t="n">
        <v>23</v>
      </c>
      <c r="J310" t="inlineStr">
        <is>
          <t>Healthy</t>
        </is>
      </c>
      <c r="K310" t="n">
        <v>5</v>
      </c>
    </row>
    <row r="311">
      <c r="A311" t="inlineStr">
        <is>
          <t>INV00310</t>
        </is>
      </c>
      <c r="B311" t="inlineStr">
        <is>
          <t>OUT007</t>
        </is>
      </c>
      <c r="C311" t="inlineStr">
        <is>
          <t>BP010</t>
        </is>
      </c>
      <c r="D311" t="n">
        <v>137</v>
      </c>
      <c r="E311" t="n">
        <v>68</v>
      </c>
      <c r="F311" t="n">
        <v>131</v>
      </c>
      <c r="G311" t="n">
        <v>72</v>
      </c>
      <c r="H311" t="n">
        <v>2</v>
      </c>
      <c r="I311" t="n">
        <v>36</v>
      </c>
      <c r="J311" t="inlineStr">
        <is>
          <t>Healthy</t>
        </is>
      </c>
      <c r="K311" t="n">
        <v>4</v>
      </c>
    </row>
    <row r="312">
      <c r="A312" t="inlineStr">
        <is>
          <t>INV00311</t>
        </is>
      </c>
      <c r="B312" t="inlineStr">
        <is>
          <t>OUT007</t>
        </is>
      </c>
      <c r="C312" t="inlineStr">
        <is>
          <t>BP011</t>
        </is>
      </c>
      <c r="D312" t="n">
        <v>83</v>
      </c>
      <c r="E312" t="n">
        <v>79</v>
      </c>
      <c r="F312" t="n">
        <v>129</v>
      </c>
      <c r="G312" t="n">
        <v>32</v>
      </c>
      <c r="H312" t="n">
        <v>1</v>
      </c>
      <c r="I312" t="n">
        <v>15</v>
      </c>
      <c r="J312" t="inlineStr">
        <is>
          <t>Healthy</t>
        </is>
      </c>
      <c r="K312" t="n">
        <v>2</v>
      </c>
    </row>
    <row r="313">
      <c r="A313" t="inlineStr">
        <is>
          <t>INV00312</t>
        </is>
      </c>
      <c r="B313" t="inlineStr">
        <is>
          <t>OUT007</t>
        </is>
      </c>
      <c r="C313" t="inlineStr">
        <is>
          <t>BP012</t>
        </is>
      </c>
      <c r="D313" t="n">
        <v>137</v>
      </c>
      <c r="E313" t="n">
        <v>67</v>
      </c>
      <c r="F313" t="n">
        <v>71</v>
      </c>
      <c r="G313" t="n">
        <v>132</v>
      </c>
      <c r="H313" t="n">
        <v>1</v>
      </c>
      <c r="I313" t="n">
        <v>17</v>
      </c>
      <c r="J313" t="inlineStr">
        <is>
          <t>Healthy</t>
        </is>
      </c>
      <c r="K313" t="n">
        <v>4</v>
      </c>
    </row>
    <row r="314">
      <c r="A314" t="inlineStr">
        <is>
          <t>INV00313</t>
        </is>
      </c>
      <c r="B314" t="inlineStr">
        <is>
          <t>OUT007</t>
        </is>
      </c>
      <c r="C314" t="inlineStr">
        <is>
          <t>BP013</t>
        </is>
      </c>
      <c r="D314" t="n">
        <v>73</v>
      </c>
      <c r="E314" t="n">
        <v>44</v>
      </c>
      <c r="F314" t="n">
        <v>72</v>
      </c>
      <c r="G314" t="n">
        <v>42</v>
      </c>
      <c r="H314" t="n">
        <v>3</v>
      </c>
      <c r="I314" t="n">
        <v>23</v>
      </c>
      <c r="J314" t="inlineStr">
        <is>
          <t>Healthy</t>
        </is>
      </c>
      <c r="K314" t="n">
        <v>5</v>
      </c>
    </row>
    <row r="315">
      <c r="A315" t="inlineStr">
        <is>
          <t>INV00314</t>
        </is>
      </c>
      <c r="B315" t="inlineStr">
        <is>
          <t>OUT007</t>
        </is>
      </c>
      <c r="C315" t="inlineStr">
        <is>
          <t>BP014</t>
        </is>
      </c>
      <c r="D315" t="n">
        <v>80</v>
      </c>
      <c r="E315" t="n">
        <v>59</v>
      </c>
      <c r="F315" t="n">
        <v>61</v>
      </c>
      <c r="G315" t="n">
        <v>78</v>
      </c>
      <c r="H315" t="n">
        <v>0</v>
      </c>
      <c r="I315" t="n">
        <v>39</v>
      </c>
      <c r="J315" t="inlineStr">
        <is>
          <t>Healthy</t>
        </is>
      </c>
      <c r="K315" t="n">
        <v>1</v>
      </c>
    </row>
    <row r="316">
      <c r="A316" t="inlineStr">
        <is>
          <t>INV00315</t>
        </is>
      </c>
      <c r="B316" t="inlineStr">
        <is>
          <t>OUT007</t>
        </is>
      </c>
      <c r="C316" t="inlineStr">
        <is>
          <t>BP015</t>
        </is>
      </c>
      <c r="D316" t="n">
        <v>97</v>
      </c>
      <c r="E316" t="n">
        <v>63</v>
      </c>
      <c r="F316" t="n">
        <v>32</v>
      </c>
      <c r="G316" t="n">
        <v>128</v>
      </c>
      <c r="H316" t="n">
        <v>0</v>
      </c>
      <c r="I316" t="n">
        <v>32</v>
      </c>
      <c r="J316" t="inlineStr">
        <is>
          <t>Healthy</t>
        </is>
      </c>
      <c r="K316" t="n">
        <v>3</v>
      </c>
    </row>
    <row r="317">
      <c r="A317" t="inlineStr">
        <is>
          <t>INV00316</t>
        </is>
      </c>
      <c r="B317" t="inlineStr">
        <is>
          <t>OUT007</t>
        </is>
      </c>
      <c r="C317" t="inlineStr">
        <is>
          <t>BP016</t>
        </is>
      </c>
      <c r="D317" t="n">
        <v>146</v>
      </c>
      <c r="E317" t="n">
        <v>84</v>
      </c>
      <c r="F317" t="n">
        <v>128</v>
      </c>
      <c r="G317" t="n">
        <v>102</v>
      </c>
      <c r="H317" t="n">
        <v>0</v>
      </c>
      <c r="I317" t="n">
        <v>31</v>
      </c>
      <c r="J317" t="inlineStr">
        <is>
          <t>Healthy</t>
        </is>
      </c>
      <c r="K317" t="n">
        <v>1</v>
      </c>
    </row>
    <row r="318">
      <c r="A318" t="inlineStr">
        <is>
          <t>INV00317</t>
        </is>
      </c>
      <c r="B318" t="inlineStr">
        <is>
          <t>OUT007</t>
        </is>
      </c>
      <c r="C318" t="inlineStr">
        <is>
          <t>BP017</t>
        </is>
      </c>
      <c r="D318" t="n">
        <v>48</v>
      </c>
      <c r="E318" t="n">
        <v>66</v>
      </c>
      <c r="F318" t="n">
        <v>124</v>
      </c>
      <c r="G318" t="n">
        <v>0</v>
      </c>
      <c r="H318" t="n">
        <v>0</v>
      </c>
      <c r="I318" t="n">
        <v>25</v>
      </c>
      <c r="J318" t="inlineStr">
        <is>
          <t>Reorder Required</t>
        </is>
      </c>
      <c r="K318" t="n">
        <v>2</v>
      </c>
      <c r="L318" t="inlineStr">
        <is>
          <t>Restock immediately</t>
        </is>
      </c>
    </row>
    <row r="319">
      <c r="A319" t="inlineStr">
        <is>
          <t>INV00318</t>
        </is>
      </c>
      <c r="B319" t="inlineStr">
        <is>
          <t>OUT007</t>
        </is>
      </c>
      <c r="C319" t="inlineStr">
        <is>
          <t>BP018</t>
        </is>
      </c>
      <c r="D319" t="n">
        <v>46</v>
      </c>
      <c r="E319" t="n">
        <v>96</v>
      </c>
      <c r="F319" t="n">
        <v>51</v>
      </c>
      <c r="G319" t="n">
        <v>88</v>
      </c>
      <c r="H319" t="n">
        <v>3</v>
      </c>
      <c r="I319" t="n">
        <v>25</v>
      </c>
      <c r="J319" t="inlineStr">
        <is>
          <t>Healthy</t>
        </is>
      </c>
      <c r="K319" t="n">
        <v>3</v>
      </c>
    </row>
    <row r="320">
      <c r="A320" t="inlineStr">
        <is>
          <t>INV00319</t>
        </is>
      </c>
      <c r="B320" t="inlineStr">
        <is>
          <t>OUT007</t>
        </is>
      </c>
      <c r="C320" t="inlineStr">
        <is>
          <t>BP019</t>
        </is>
      </c>
      <c r="D320" t="n">
        <v>124</v>
      </c>
      <c r="E320" t="n">
        <v>65</v>
      </c>
      <c r="F320" t="n">
        <v>38</v>
      </c>
      <c r="G320" t="n">
        <v>150</v>
      </c>
      <c r="H320" t="n">
        <v>1</v>
      </c>
      <c r="I320" t="n">
        <v>37</v>
      </c>
      <c r="J320" t="inlineStr">
        <is>
          <t>Healthy</t>
        </is>
      </c>
      <c r="K320" t="n">
        <v>4</v>
      </c>
    </row>
    <row r="321">
      <c r="A321" t="inlineStr">
        <is>
          <t>INV00320</t>
        </is>
      </c>
      <c r="B321" t="inlineStr">
        <is>
          <t>OUT007</t>
        </is>
      </c>
      <c r="C321" t="inlineStr">
        <is>
          <t>BP020</t>
        </is>
      </c>
      <c r="D321" t="n">
        <v>51</v>
      </c>
      <c r="E321" t="n">
        <v>53</v>
      </c>
      <c r="F321" t="n">
        <v>45</v>
      </c>
      <c r="G321" t="n">
        <v>57</v>
      </c>
      <c r="H321" t="n">
        <v>2</v>
      </c>
      <c r="I321" t="n">
        <v>27</v>
      </c>
      <c r="J321" t="inlineStr">
        <is>
          <t>Healthy</t>
        </is>
      </c>
      <c r="K321" t="n">
        <v>1</v>
      </c>
    </row>
    <row r="322">
      <c r="A322" t="inlineStr">
        <is>
          <t>INV00321</t>
        </is>
      </c>
      <c r="B322" t="inlineStr">
        <is>
          <t>OUT007</t>
        </is>
      </c>
      <c r="C322" t="inlineStr">
        <is>
          <t>BP021</t>
        </is>
      </c>
      <c r="D322" t="n">
        <v>47</v>
      </c>
      <c r="E322" t="n">
        <v>86</v>
      </c>
      <c r="F322" t="n">
        <v>30</v>
      </c>
      <c r="G322" t="n">
        <v>100</v>
      </c>
      <c r="H322" t="n">
        <v>3</v>
      </c>
      <c r="I322" t="n">
        <v>36</v>
      </c>
      <c r="J322" t="inlineStr">
        <is>
          <t>Healthy</t>
        </is>
      </c>
      <c r="K322" t="n">
        <v>2</v>
      </c>
    </row>
    <row r="323">
      <c r="A323" t="inlineStr">
        <is>
          <t>INV00322</t>
        </is>
      </c>
      <c r="B323" t="inlineStr">
        <is>
          <t>OUT007</t>
        </is>
      </c>
      <c r="C323" t="inlineStr">
        <is>
          <t>BP022</t>
        </is>
      </c>
      <c r="D323" t="n">
        <v>143</v>
      </c>
      <c r="E323" t="n">
        <v>38</v>
      </c>
      <c r="F323" t="n">
        <v>123</v>
      </c>
      <c r="G323" t="n">
        <v>56</v>
      </c>
      <c r="H323" t="n">
        <v>2</v>
      </c>
      <c r="I323" t="n">
        <v>26</v>
      </c>
      <c r="J323" t="inlineStr">
        <is>
          <t>Healthy</t>
        </is>
      </c>
      <c r="K323" t="n">
        <v>1</v>
      </c>
    </row>
    <row r="324">
      <c r="A324" t="inlineStr">
        <is>
          <t>INV00323</t>
        </is>
      </c>
      <c r="B324" t="inlineStr">
        <is>
          <t>OUT007</t>
        </is>
      </c>
      <c r="C324" t="inlineStr">
        <is>
          <t>BP023</t>
        </is>
      </c>
      <c r="D324" t="n">
        <v>83</v>
      </c>
      <c r="E324" t="n">
        <v>72</v>
      </c>
      <c r="F324" t="n">
        <v>74</v>
      </c>
      <c r="G324" t="n">
        <v>80</v>
      </c>
      <c r="H324" t="n">
        <v>1</v>
      </c>
      <c r="I324" t="n">
        <v>22</v>
      </c>
      <c r="J324" t="inlineStr">
        <is>
          <t>Healthy</t>
        </is>
      </c>
      <c r="K324" t="n">
        <v>2</v>
      </c>
    </row>
    <row r="325">
      <c r="A325" t="inlineStr">
        <is>
          <t>INV00324</t>
        </is>
      </c>
      <c r="B325" t="inlineStr">
        <is>
          <t>OUT007</t>
        </is>
      </c>
      <c r="C325" t="inlineStr">
        <is>
          <t>BP024</t>
        </is>
      </c>
      <c r="D325" t="n">
        <v>51</v>
      </c>
      <c r="E325" t="n">
        <v>84</v>
      </c>
      <c r="F325" t="n">
        <v>52</v>
      </c>
      <c r="G325" t="n">
        <v>81</v>
      </c>
      <c r="H325" t="n">
        <v>2</v>
      </c>
      <c r="I325" t="n">
        <v>32</v>
      </c>
      <c r="J325" t="inlineStr">
        <is>
          <t>Healthy</t>
        </is>
      </c>
      <c r="K325" t="n">
        <v>5</v>
      </c>
    </row>
    <row r="326">
      <c r="A326" t="inlineStr">
        <is>
          <t>INV00325</t>
        </is>
      </c>
      <c r="B326" t="inlineStr">
        <is>
          <t>OUT007</t>
        </is>
      </c>
      <c r="C326" t="inlineStr">
        <is>
          <t>BP025</t>
        </is>
      </c>
      <c r="D326" t="n">
        <v>95</v>
      </c>
      <c r="E326" t="n">
        <v>96</v>
      </c>
      <c r="F326" t="n">
        <v>137</v>
      </c>
      <c r="G326" t="n">
        <v>54</v>
      </c>
      <c r="H326" t="n">
        <v>0</v>
      </c>
      <c r="I326" t="n">
        <v>28</v>
      </c>
      <c r="J326" t="inlineStr">
        <is>
          <t>Healthy</t>
        </is>
      </c>
      <c r="K326" t="n">
        <v>4</v>
      </c>
    </row>
    <row r="327">
      <c r="A327" t="inlineStr">
        <is>
          <t>INV00326</t>
        </is>
      </c>
      <c r="B327" t="inlineStr">
        <is>
          <t>OUT007</t>
        </is>
      </c>
      <c r="C327" t="inlineStr">
        <is>
          <t>BP026</t>
        </is>
      </c>
      <c r="D327" t="n">
        <v>43</v>
      </c>
      <c r="E327" t="n">
        <v>57</v>
      </c>
      <c r="F327" t="n">
        <v>139</v>
      </c>
      <c r="G327" t="n">
        <v>0</v>
      </c>
      <c r="H327" t="n">
        <v>3</v>
      </c>
      <c r="I327" t="n">
        <v>34</v>
      </c>
      <c r="J327" t="inlineStr">
        <is>
          <t>Reorder Required</t>
        </is>
      </c>
      <c r="K327" t="n">
        <v>4</v>
      </c>
      <c r="L327" t="inlineStr">
        <is>
          <t>Restock immediately</t>
        </is>
      </c>
    </row>
    <row r="328">
      <c r="A328" t="inlineStr">
        <is>
          <t>INV00327</t>
        </is>
      </c>
      <c r="B328" t="inlineStr">
        <is>
          <t>OUT007</t>
        </is>
      </c>
      <c r="C328" t="inlineStr">
        <is>
          <t>BP027</t>
        </is>
      </c>
      <c r="D328" t="n">
        <v>141</v>
      </c>
      <c r="E328" t="n">
        <v>89</v>
      </c>
      <c r="F328" t="n">
        <v>64</v>
      </c>
      <c r="G328" t="n">
        <v>166</v>
      </c>
      <c r="H328" t="n">
        <v>0</v>
      </c>
      <c r="I328" t="n">
        <v>36</v>
      </c>
      <c r="J328" t="inlineStr">
        <is>
          <t>Healthy</t>
        </is>
      </c>
      <c r="K328" t="n">
        <v>4</v>
      </c>
    </row>
    <row r="329">
      <c r="A329" t="inlineStr">
        <is>
          <t>INV00328</t>
        </is>
      </c>
      <c r="B329" t="inlineStr">
        <is>
          <t>OUT007</t>
        </is>
      </c>
      <c r="C329" t="inlineStr">
        <is>
          <t>BP028</t>
        </is>
      </c>
      <c r="D329" t="n">
        <v>139</v>
      </c>
      <c r="E329" t="n">
        <v>88</v>
      </c>
      <c r="F329" t="n">
        <v>65</v>
      </c>
      <c r="G329" t="n">
        <v>161</v>
      </c>
      <c r="H329" t="n">
        <v>1</v>
      </c>
      <c r="I329" t="n">
        <v>19</v>
      </c>
      <c r="J329" t="inlineStr">
        <is>
          <t>Healthy</t>
        </is>
      </c>
      <c r="K329" t="n">
        <v>4</v>
      </c>
    </row>
    <row r="330">
      <c r="A330" t="inlineStr">
        <is>
          <t>INV00329</t>
        </is>
      </c>
      <c r="B330" t="inlineStr">
        <is>
          <t>OUT007</t>
        </is>
      </c>
      <c r="C330" t="inlineStr">
        <is>
          <t>BP029</t>
        </is>
      </c>
      <c r="D330" t="n">
        <v>142</v>
      </c>
      <c r="E330" t="n">
        <v>34</v>
      </c>
      <c r="F330" t="n">
        <v>66</v>
      </c>
      <c r="G330" t="n">
        <v>108</v>
      </c>
      <c r="H330" t="n">
        <v>2</v>
      </c>
      <c r="I330" t="n">
        <v>18</v>
      </c>
      <c r="J330" t="inlineStr">
        <is>
          <t>Healthy</t>
        </is>
      </c>
      <c r="K330" t="n">
        <v>3</v>
      </c>
    </row>
    <row r="331">
      <c r="A331" t="inlineStr">
        <is>
          <t>INV00330</t>
        </is>
      </c>
      <c r="B331" t="inlineStr">
        <is>
          <t>OUT007</t>
        </is>
      </c>
      <c r="C331" t="inlineStr">
        <is>
          <t>BP030</t>
        </is>
      </c>
      <c r="D331" t="n">
        <v>143</v>
      </c>
      <c r="E331" t="n">
        <v>49</v>
      </c>
      <c r="F331" t="n">
        <v>121</v>
      </c>
      <c r="G331" t="n">
        <v>68</v>
      </c>
      <c r="H331" t="n">
        <v>3</v>
      </c>
      <c r="I331" t="n">
        <v>27</v>
      </c>
      <c r="J331" t="inlineStr">
        <is>
          <t>Healthy</t>
        </is>
      </c>
      <c r="K331" t="n">
        <v>3</v>
      </c>
    </row>
    <row r="332">
      <c r="A332" t="inlineStr">
        <is>
          <t>INV00331</t>
        </is>
      </c>
      <c r="B332" t="inlineStr">
        <is>
          <t>OUT007</t>
        </is>
      </c>
      <c r="C332" t="inlineStr">
        <is>
          <t>BP031</t>
        </is>
      </c>
      <c r="D332" t="n">
        <v>42</v>
      </c>
      <c r="E332" t="n">
        <v>84</v>
      </c>
      <c r="F332" t="n">
        <v>70</v>
      </c>
      <c r="G332" t="n">
        <v>49</v>
      </c>
      <c r="H332" t="n">
        <v>7</v>
      </c>
      <c r="I332" t="n">
        <v>17</v>
      </c>
      <c r="J332" t="inlineStr">
        <is>
          <t>Healthy</t>
        </is>
      </c>
      <c r="K332" t="n">
        <v>1</v>
      </c>
    </row>
    <row r="333">
      <c r="A333" t="inlineStr">
        <is>
          <t>INV00332</t>
        </is>
      </c>
      <c r="B333" t="inlineStr">
        <is>
          <t>OUT007</t>
        </is>
      </c>
      <c r="C333" t="inlineStr">
        <is>
          <t>BP032</t>
        </is>
      </c>
      <c r="D333" t="n">
        <v>96</v>
      </c>
      <c r="E333" t="n">
        <v>74</v>
      </c>
      <c r="F333" t="n">
        <v>127</v>
      </c>
      <c r="G333" t="n">
        <v>36</v>
      </c>
      <c r="H333" t="n">
        <v>7</v>
      </c>
      <c r="I333" t="n">
        <v>31</v>
      </c>
      <c r="J333" t="inlineStr">
        <is>
          <t>Healthy</t>
        </is>
      </c>
      <c r="K333" t="n">
        <v>3</v>
      </c>
    </row>
    <row r="334">
      <c r="A334" t="inlineStr">
        <is>
          <t>INV00333</t>
        </is>
      </c>
      <c r="B334" t="inlineStr">
        <is>
          <t>OUT007</t>
        </is>
      </c>
      <c r="C334" t="inlineStr">
        <is>
          <t>BP033</t>
        </is>
      </c>
      <c r="D334" t="n">
        <v>89</v>
      </c>
      <c r="E334" t="n">
        <v>64</v>
      </c>
      <c r="F334" t="n">
        <v>64</v>
      </c>
      <c r="G334" t="n">
        <v>82</v>
      </c>
      <c r="H334" t="n">
        <v>7</v>
      </c>
      <c r="I334" t="n">
        <v>27</v>
      </c>
      <c r="J334" t="inlineStr">
        <is>
          <t>Healthy</t>
        </is>
      </c>
      <c r="K334" t="n">
        <v>3</v>
      </c>
    </row>
    <row r="335">
      <c r="A335" t="inlineStr">
        <is>
          <t>INV00334</t>
        </is>
      </c>
      <c r="B335" t="inlineStr">
        <is>
          <t>OUT007</t>
        </is>
      </c>
      <c r="C335" t="inlineStr">
        <is>
          <t>BP034</t>
        </is>
      </c>
      <c r="D335" t="n">
        <v>100</v>
      </c>
      <c r="E335" t="n">
        <v>60</v>
      </c>
      <c r="F335" t="n">
        <v>101</v>
      </c>
      <c r="G335" t="n">
        <v>56</v>
      </c>
      <c r="H335" t="n">
        <v>3</v>
      </c>
      <c r="I335" t="n">
        <v>37</v>
      </c>
      <c r="J335" t="inlineStr">
        <is>
          <t>Healthy</t>
        </is>
      </c>
      <c r="K335" t="n">
        <v>3</v>
      </c>
    </row>
    <row r="336">
      <c r="A336" t="inlineStr">
        <is>
          <t>INV00335</t>
        </is>
      </c>
      <c r="B336" t="inlineStr">
        <is>
          <t>OUT007</t>
        </is>
      </c>
      <c r="C336" t="inlineStr">
        <is>
          <t>BP035</t>
        </is>
      </c>
      <c r="D336" t="n">
        <v>84</v>
      </c>
      <c r="E336" t="n">
        <v>59</v>
      </c>
      <c r="F336" t="n">
        <v>52</v>
      </c>
      <c r="G336" t="n">
        <v>86</v>
      </c>
      <c r="H336" t="n">
        <v>5</v>
      </c>
      <c r="I336" t="n">
        <v>33</v>
      </c>
      <c r="J336" t="inlineStr">
        <is>
          <t>Healthy</t>
        </is>
      </c>
      <c r="K336" t="n">
        <v>1</v>
      </c>
    </row>
    <row r="337">
      <c r="A337" t="inlineStr">
        <is>
          <t>INV00336</t>
        </is>
      </c>
      <c r="B337" t="inlineStr">
        <is>
          <t>OUT007</t>
        </is>
      </c>
      <c r="C337" t="inlineStr">
        <is>
          <t>BP036</t>
        </is>
      </c>
      <c r="D337" t="n">
        <v>96</v>
      </c>
      <c r="E337" t="n">
        <v>81</v>
      </c>
      <c r="F337" t="n">
        <v>90</v>
      </c>
      <c r="G337" t="n">
        <v>81</v>
      </c>
      <c r="H337" t="n">
        <v>6</v>
      </c>
      <c r="I337" t="n">
        <v>29</v>
      </c>
      <c r="J337" t="inlineStr">
        <is>
          <t>Healthy</t>
        </is>
      </c>
      <c r="K337" t="n">
        <v>4</v>
      </c>
    </row>
    <row r="338">
      <c r="A338" t="inlineStr">
        <is>
          <t>INV00337</t>
        </is>
      </c>
      <c r="B338" t="inlineStr">
        <is>
          <t>OUT007</t>
        </is>
      </c>
      <c r="C338" t="inlineStr">
        <is>
          <t>BP037</t>
        </is>
      </c>
      <c r="D338" t="n">
        <v>73</v>
      </c>
      <c r="E338" t="n">
        <v>42</v>
      </c>
      <c r="F338" t="n">
        <v>119</v>
      </c>
      <c r="G338" t="n">
        <v>0</v>
      </c>
      <c r="H338" t="n">
        <v>5</v>
      </c>
      <c r="I338" t="n">
        <v>38</v>
      </c>
      <c r="J338" t="inlineStr">
        <is>
          <t>Reorder Required</t>
        </is>
      </c>
      <c r="K338" t="n">
        <v>2</v>
      </c>
      <c r="L338" t="inlineStr">
        <is>
          <t>Restock immediately</t>
        </is>
      </c>
    </row>
    <row r="339">
      <c r="A339" t="inlineStr">
        <is>
          <t>INV00338</t>
        </is>
      </c>
      <c r="B339" t="inlineStr">
        <is>
          <t>OUT007</t>
        </is>
      </c>
      <c r="C339" t="inlineStr">
        <is>
          <t>BP038</t>
        </is>
      </c>
      <c r="D339" t="n">
        <v>61</v>
      </c>
      <c r="E339" t="n">
        <v>91</v>
      </c>
      <c r="F339" t="n">
        <v>123</v>
      </c>
      <c r="G339" t="n">
        <v>24</v>
      </c>
      <c r="H339" t="n">
        <v>5</v>
      </c>
      <c r="I339" t="n">
        <v>38</v>
      </c>
      <c r="J339" t="inlineStr">
        <is>
          <t>Reorder Required</t>
        </is>
      </c>
      <c r="K339" t="n">
        <v>5</v>
      </c>
      <c r="L339" t="inlineStr">
        <is>
          <t>Restock immediately</t>
        </is>
      </c>
    </row>
    <row r="340">
      <c r="A340" t="inlineStr">
        <is>
          <t>INV00339</t>
        </is>
      </c>
      <c r="B340" t="inlineStr">
        <is>
          <t>OUT007</t>
        </is>
      </c>
      <c r="C340" t="inlineStr">
        <is>
          <t>BP039</t>
        </is>
      </c>
      <c r="D340" t="n">
        <v>102</v>
      </c>
      <c r="E340" t="n">
        <v>53</v>
      </c>
      <c r="F340" t="n">
        <v>109</v>
      </c>
      <c r="G340" t="n">
        <v>40</v>
      </c>
      <c r="H340" t="n">
        <v>6</v>
      </c>
      <c r="I340" t="n">
        <v>25</v>
      </c>
      <c r="J340" t="inlineStr">
        <is>
          <t>Healthy</t>
        </is>
      </c>
      <c r="K340" t="n">
        <v>3</v>
      </c>
    </row>
    <row r="341">
      <c r="A341" t="inlineStr">
        <is>
          <t>INV00340</t>
        </is>
      </c>
      <c r="B341" t="inlineStr">
        <is>
          <t>OUT007</t>
        </is>
      </c>
      <c r="C341" t="inlineStr">
        <is>
          <t>BP040</t>
        </is>
      </c>
      <c r="D341" t="n">
        <v>44</v>
      </c>
      <c r="E341" t="n">
        <v>61</v>
      </c>
      <c r="F341" t="n">
        <v>84</v>
      </c>
      <c r="G341" t="n">
        <v>16</v>
      </c>
      <c r="H341" t="n">
        <v>5</v>
      </c>
      <c r="I341" t="n">
        <v>17</v>
      </c>
      <c r="J341" t="inlineStr">
        <is>
          <t>Reorder Required</t>
        </is>
      </c>
      <c r="K341" t="n">
        <v>2</v>
      </c>
      <c r="L341" t="inlineStr">
        <is>
          <t>Restock immediately</t>
        </is>
      </c>
    </row>
    <row r="342">
      <c r="A342" t="inlineStr">
        <is>
          <t>INV00341</t>
        </is>
      </c>
      <c r="B342" t="inlineStr">
        <is>
          <t>OUT007</t>
        </is>
      </c>
      <c r="C342" t="inlineStr">
        <is>
          <t>BP041</t>
        </is>
      </c>
      <c r="D342" t="n">
        <v>49</v>
      </c>
      <c r="E342" t="n">
        <v>28</v>
      </c>
      <c r="F342" t="n">
        <v>41</v>
      </c>
      <c r="G342" t="n">
        <v>35</v>
      </c>
      <c r="H342" t="n">
        <v>1</v>
      </c>
      <c r="I342" t="n">
        <v>31</v>
      </c>
      <c r="J342" t="inlineStr">
        <is>
          <t>Healthy</t>
        </is>
      </c>
      <c r="K342" t="n">
        <v>5</v>
      </c>
    </row>
    <row r="343">
      <c r="A343" t="inlineStr">
        <is>
          <t>INV00342</t>
        </is>
      </c>
      <c r="B343" t="inlineStr">
        <is>
          <t>OUT007</t>
        </is>
      </c>
      <c r="C343" t="inlineStr">
        <is>
          <t>BP042</t>
        </is>
      </c>
      <c r="D343" t="n">
        <v>63</v>
      </c>
      <c r="E343" t="n">
        <v>50</v>
      </c>
      <c r="F343" t="n">
        <v>137</v>
      </c>
      <c r="G343" t="n">
        <v>0</v>
      </c>
      <c r="H343" t="n">
        <v>1</v>
      </c>
      <c r="I343" t="n">
        <v>22</v>
      </c>
      <c r="J343" t="inlineStr">
        <is>
          <t>Reorder Required</t>
        </is>
      </c>
      <c r="K343" t="n">
        <v>3</v>
      </c>
      <c r="L343" t="inlineStr">
        <is>
          <t>Restock immediately</t>
        </is>
      </c>
    </row>
    <row r="344">
      <c r="A344" t="inlineStr">
        <is>
          <t>INV00343</t>
        </is>
      </c>
      <c r="B344" t="inlineStr">
        <is>
          <t>OUT007</t>
        </is>
      </c>
      <c r="C344" t="inlineStr">
        <is>
          <t>BP043</t>
        </is>
      </c>
      <c r="D344" t="n">
        <v>83</v>
      </c>
      <c r="E344" t="n">
        <v>90</v>
      </c>
      <c r="F344" t="n">
        <v>51</v>
      </c>
      <c r="G344" t="n">
        <v>120</v>
      </c>
      <c r="H344" t="n">
        <v>2</v>
      </c>
      <c r="I344" t="n">
        <v>16</v>
      </c>
      <c r="J344" t="inlineStr">
        <is>
          <t>Healthy</t>
        </is>
      </c>
      <c r="K344" t="n">
        <v>1</v>
      </c>
    </row>
    <row r="345">
      <c r="A345" t="inlineStr">
        <is>
          <t>INV00344</t>
        </is>
      </c>
      <c r="B345" t="inlineStr">
        <is>
          <t>OUT007</t>
        </is>
      </c>
      <c r="C345" t="inlineStr">
        <is>
          <t>BP044</t>
        </is>
      </c>
      <c r="D345" t="n">
        <v>79</v>
      </c>
      <c r="E345" t="n">
        <v>60</v>
      </c>
      <c r="F345" t="n">
        <v>120</v>
      </c>
      <c r="G345" t="n">
        <v>18</v>
      </c>
      <c r="H345" t="n">
        <v>1</v>
      </c>
      <c r="I345" t="n">
        <v>33</v>
      </c>
      <c r="J345" t="inlineStr">
        <is>
          <t>Reorder Required</t>
        </is>
      </c>
      <c r="K345" t="n">
        <v>5</v>
      </c>
      <c r="L345" t="inlineStr">
        <is>
          <t>Restock immediately</t>
        </is>
      </c>
    </row>
    <row r="346">
      <c r="A346" t="inlineStr">
        <is>
          <t>INV00345</t>
        </is>
      </c>
      <c r="B346" t="inlineStr">
        <is>
          <t>OUT007</t>
        </is>
      </c>
      <c r="C346" t="inlineStr">
        <is>
          <t>BP045</t>
        </is>
      </c>
      <c r="D346" t="n">
        <v>104</v>
      </c>
      <c r="E346" t="n">
        <v>22</v>
      </c>
      <c r="F346" t="n">
        <v>43</v>
      </c>
      <c r="G346" t="n">
        <v>83</v>
      </c>
      <c r="H346" t="n">
        <v>0</v>
      </c>
      <c r="I346" t="n">
        <v>32</v>
      </c>
      <c r="J346" t="inlineStr">
        <is>
          <t>Healthy</t>
        </is>
      </c>
      <c r="K346" t="n">
        <v>4</v>
      </c>
    </row>
    <row r="347">
      <c r="A347" t="inlineStr">
        <is>
          <t>INV00346</t>
        </is>
      </c>
      <c r="B347" t="inlineStr">
        <is>
          <t>OUT007</t>
        </is>
      </c>
      <c r="C347" t="inlineStr">
        <is>
          <t>BP046</t>
        </is>
      </c>
      <c r="D347" t="n">
        <v>111</v>
      </c>
      <c r="E347" t="n">
        <v>35</v>
      </c>
      <c r="F347" t="n">
        <v>112</v>
      </c>
      <c r="G347" t="n">
        <v>34</v>
      </c>
      <c r="H347" t="n">
        <v>0</v>
      </c>
      <c r="I347" t="n">
        <v>35</v>
      </c>
      <c r="J347" t="inlineStr">
        <is>
          <t>Reorder Required</t>
        </is>
      </c>
      <c r="K347" t="n">
        <v>2</v>
      </c>
      <c r="L347" t="inlineStr">
        <is>
          <t>Restock immediately</t>
        </is>
      </c>
    </row>
    <row r="348">
      <c r="A348" t="inlineStr">
        <is>
          <t>INV00347</t>
        </is>
      </c>
      <c r="B348" t="inlineStr">
        <is>
          <t>OUT007</t>
        </is>
      </c>
      <c r="C348" t="inlineStr">
        <is>
          <t>BP047</t>
        </is>
      </c>
      <c r="D348" t="n">
        <v>103</v>
      </c>
      <c r="E348" t="n">
        <v>38</v>
      </c>
      <c r="F348" t="n">
        <v>57</v>
      </c>
      <c r="G348" t="n">
        <v>84</v>
      </c>
      <c r="H348" t="n">
        <v>0</v>
      </c>
      <c r="I348" t="n">
        <v>35</v>
      </c>
      <c r="J348" t="inlineStr">
        <is>
          <t>Healthy</t>
        </is>
      </c>
      <c r="K348" t="n">
        <v>5</v>
      </c>
    </row>
    <row r="349">
      <c r="A349" t="inlineStr">
        <is>
          <t>INV00348</t>
        </is>
      </c>
      <c r="B349" t="inlineStr">
        <is>
          <t>OUT007</t>
        </is>
      </c>
      <c r="C349" t="inlineStr">
        <is>
          <t>BP048</t>
        </is>
      </c>
      <c r="D349" t="n">
        <v>116</v>
      </c>
      <c r="E349" t="n">
        <v>80</v>
      </c>
      <c r="F349" t="n">
        <v>49</v>
      </c>
      <c r="G349" t="n">
        <v>147</v>
      </c>
      <c r="H349" t="n">
        <v>0</v>
      </c>
      <c r="I349" t="n">
        <v>22</v>
      </c>
      <c r="J349" t="inlineStr">
        <is>
          <t>Healthy</t>
        </is>
      </c>
      <c r="K349" t="n">
        <v>1</v>
      </c>
    </row>
    <row r="350">
      <c r="A350" t="inlineStr">
        <is>
          <t>INV00349</t>
        </is>
      </c>
      <c r="B350" t="inlineStr">
        <is>
          <t>OUT007</t>
        </is>
      </c>
      <c r="C350" t="inlineStr">
        <is>
          <t>BP049</t>
        </is>
      </c>
      <c r="D350" t="n">
        <v>143</v>
      </c>
      <c r="E350" t="n">
        <v>69</v>
      </c>
      <c r="F350" t="n">
        <v>116</v>
      </c>
      <c r="G350" t="n">
        <v>96</v>
      </c>
      <c r="H350" t="n">
        <v>0</v>
      </c>
      <c r="I350" t="n">
        <v>15</v>
      </c>
      <c r="J350" t="inlineStr">
        <is>
          <t>Healthy</t>
        </is>
      </c>
      <c r="K350" t="n">
        <v>3</v>
      </c>
    </row>
    <row r="351">
      <c r="A351" t="inlineStr">
        <is>
          <t>INV00350</t>
        </is>
      </c>
      <c r="B351" t="inlineStr">
        <is>
          <t>OUT007</t>
        </is>
      </c>
      <c r="C351" t="inlineStr">
        <is>
          <t>BP050</t>
        </is>
      </c>
      <c r="D351" t="n">
        <v>116</v>
      </c>
      <c r="E351" t="n">
        <v>23</v>
      </c>
      <c r="F351" t="n">
        <v>39</v>
      </c>
      <c r="G351" t="n">
        <v>100</v>
      </c>
      <c r="H351" t="n">
        <v>0</v>
      </c>
      <c r="I351" t="n">
        <v>30</v>
      </c>
      <c r="J351" t="inlineStr">
        <is>
          <t>Healthy</t>
        </is>
      </c>
      <c r="K351" t="n">
        <v>4</v>
      </c>
    </row>
    <row r="352">
      <c r="A352" t="inlineStr">
        <is>
          <t>INV00351</t>
        </is>
      </c>
      <c r="B352" t="inlineStr">
        <is>
          <t>OUT008</t>
        </is>
      </c>
      <c r="C352" t="inlineStr">
        <is>
          <t>BP001</t>
        </is>
      </c>
      <c r="D352" t="n">
        <v>53</v>
      </c>
      <c r="E352" t="n">
        <v>27</v>
      </c>
      <c r="F352" t="n">
        <v>119</v>
      </c>
      <c r="G352" t="n">
        <v>0</v>
      </c>
      <c r="H352" t="n">
        <v>2</v>
      </c>
      <c r="I352" t="n">
        <v>38</v>
      </c>
      <c r="J352" t="inlineStr">
        <is>
          <t>Reorder Required</t>
        </is>
      </c>
      <c r="K352" t="n">
        <v>4</v>
      </c>
      <c r="L352" t="inlineStr">
        <is>
          <t>Restock immediately</t>
        </is>
      </c>
    </row>
    <row r="353">
      <c r="A353" t="inlineStr">
        <is>
          <t>INV00352</t>
        </is>
      </c>
      <c r="B353" t="inlineStr">
        <is>
          <t>OUT008</t>
        </is>
      </c>
      <c r="C353" t="inlineStr">
        <is>
          <t>BP002</t>
        </is>
      </c>
      <c r="D353" t="n">
        <v>47</v>
      </c>
      <c r="E353" t="n">
        <v>69</v>
      </c>
      <c r="F353" t="n">
        <v>100</v>
      </c>
      <c r="G353" t="n">
        <v>14</v>
      </c>
      <c r="H353" t="n">
        <v>2</v>
      </c>
      <c r="I353" t="n">
        <v>36</v>
      </c>
      <c r="J353" t="inlineStr">
        <is>
          <t>Reorder Required</t>
        </is>
      </c>
      <c r="K353" t="n">
        <v>4</v>
      </c>
      <c r="L353" t="inlineStr">
        <is>
          <t>Restock immediately</t>
        </is>
      </c>
    </row>
    <row r="354">
      <c r="A354" t="inlineStr">
        <is>
          <t>INV00353</t>
        </is>
      </c>
      <c r="B354" t="inlineStr">
        <is>
          <t>OUT008</t>
        </is>
      </c>
      <c r="C354" t="inlineStr">
        <is>
          <t>BP003</t>
        </is>
      </c>
      <c r="D354" t="n">
        <v>113</v>
      </c>
      <c r="E354" t="n">
        <v>89</v>
      </c>
      <c r="F354" t="n">
        <v>113</v>
      </c>
      <c r="G354" t="n">
        <v>86</v>
      </c>
      <c r="H354" t="n">
        <v>3</v>
      </c>
      <c r="I354" t="n">
        <v>28</v>
      </c>
      <c r="J354" t="inlineStr">
        <is>
          <t>Healthy</t>
        </is>
      </c>
      <c r="K354" t="n">
        <v>3</v>
      </c>
    </row>
    <row r="355">
      <c r="A355" t="inlineStr">
        <is>
          <t>INV00354</t>
        </is>
      </c>
      <c r="B355" t="inlineStr">
        <is>
          <t>OUT008</t>
        </is>
      </c>
      <c r="C355" t="inlineStr">
        <is>
          <t>BP004</t>
        </is>
      </c>
      <c r="D355" t="n">
        <v>102</v>
      </c>
      <c r="E355" t="n">
        <v>40</v>
      </c>
      <c r="F355" t="n">
        <v>61</v>
      </c>
      <c r="G355" t="n">
        <v>80</v>
      </c>
      <c r="H355" t="n">
        <v>1</v>
      </c>
      <c r="I355" t="n">
        <v>20</v>
      </c>
      <c r="J355" t="inlineStr">
        <is>
          <t>Healthy</t>
        </is>
      </c>
      <c r="K355" t="n">
        <v>1</v>
      </c>
    </row>
    <row r="356">
      <c r="A356" t="inlineStr">
        <is>
          <t>INV00355</t>
        </is>
      </c>
      <c r="B356" t="inlineStr">
        <is>
          <t>OUT008</t>
        </is>
      </c>
      <c r="C356" t="inlineStr">
        <is>
          <t>BP005</t>
        </is>
      </c>
      <c r="D356" t="n">
        <v>80</v>
      </c>
      <c r="E356" t="n">
        <v>71</v>
      </c>
      <c r="F356" t="n">
        <v>59</v>
      </c>
      <c r="G356" t="n">
        <v>89</v>
      </c>
      <c r="H356" t="n">
        <v>3</v>
      </c>
      <c r="I356" t="n">
        <v>24</v>
      </c>
      <c r="J356" t="inlineStr">
        <is>
          <t>Healthy</t>
        </is>
      </c>
      <c r="K356" t="n">
        <v>4</v>
      </c>
    </row>
    <row r="357">
      <c r="A357" t="inlineStr">
        <is>
          <t>INV00356</t>
        </is>
      </c>
      <c r="B357" t="inlineStr">
        <is>
          <t>OUT008</t>
        </is>
      </c>
      <c r="C357" t="inlineStr">
        <is>
          <t>BP006</t>
        </is>
      </c>
      <c r="D357" t="n">
        <v>118</v>
      </c>
      <c r="E357" t="n">
        <v>83</v>
      </c>
      <c r="F357" t="n">
        <v>124</v>
      </c>
      <c r="G357" t="n">
        <v>76</v>
      </c>
      <c r="H357" t="n">
        <v>1</v>
      </c>
      <c r="I357" t="n">
        <v>29</v>
      </c>
      <c r="J357" t="inlineStr">
        <is>
          <t>Healthy</t>
        </is>
      </c>
      <c r="K357" t="n">
        <v>2</v>
      </c>
    </row>
    <row r="358">
      <c r="A358" t="inlineStr">
        <is>
          <t>INV00357</t>
        </is>
      </c>
      <c r="B358" t="inlineStr">
        <is>
          <t>OUT008</t>
        </is>
      </c>
      <c r="C358" t="inlineStr">
        <is>
          <t>BP007</t>
        </is>
      </c>
      <c r="D358" t="n">
        <v>129</v>
      </c>
      <c r="E358" t="n">
        <v>63</v>
      </c>
      <c r="F358" t="n">
        <v>119</v>
      </c>
      <c r="G358" t="n">
        <v>73</v>
      </c>
      <c r="H358" t="n">
        <v>0</v>
      </c>
      <c r="I358" t="n">
        <v>20</v>
      </c>
      <c r="J358" t="inlineStr">
        <is>
          <t>Healthy</t>
        </is>
      </c>
      <c r="K358" t="n">
        <v>1</v>
      </c>
    </row>
    <row r="359">
      <c r="A359" t="inlineStr">
        <is>
          <t>INV00358</t>
        </is>
      </c>
      <c r="B359" t="inlineStr">
        <is>
          <t>OUT008</t>
        </is>
      </c>
      <c r="C359" t="inlineStr">
        <is>
          <t>BP008</t>
        </is>
      </c>
      <c r="D359" t="n">
        <v>136</v>
      </c>
      <c r="E359" t="n">
        <v>72</v>
      </c>
      <c r="F359" t="n">
        <v>68</v>
      </c>
      <c r="G359" t="n">
        <v>138</v>
      </c>
      <c r="H359" t="n">
        <v>2</v>
      </c>
      <c r="I359" t="n">
        <v>40</v>
      </c>
      <c r="J359" t="inlineStr">
        <is>
          <t>Healthy</t>
        </is>
      </c>
      <c r="K359" t="n">
        <v>2</v>
      </c>
    </row>
    <row r="360">
      <c r="A360" t="inlineStr">
        <is>
          <t>INV00359</t>
        </is>
      </c>
      <c r="B360" t="inlineStr">
        <is>
          <t>OUT008</t>
        </is>
      </c>
      <c r="C360" t="inlineStr">
        <is>
          <t>BP009</t>
        </is>
      </c>
      <c r="D360" t="n">
        <v>95</v>
      </c>
      <c r="E360" t="n">
        <v>93</v>
      </c>
      <c r="F360" t="n">
        <v>70</v>
      </c>
      <c r="G360" t="n">
        <v>116</v>
      </c>
      <c r="H360" t="n">
        <v>2</v>
      </c>
      <c r="I360" t="n">
        <v>38</v>
      </c>
      <c r="J360" t="inlineStr">
        <is>
          <t>Healthy</t>
        </is>
      </c>
      <c r="K360" t="n">
        <v>1</v>
      </c>
    </row>
    <row r="361">
      <c r="A361" t="inlineStr">
        <is>
          <t>INV00360</t>
        </is>
      </c>
      <c r="B361" t="inlineStr">
        <is>
          <t>OUT008</t>
        </is>
      </c>
      <c r="C361" t="inlineStr">
        <is>
          <t>BP010</t>
        </is>
      </c>
      <c r="D361" t="n">
        <v>93</v>
      </c>
      <c r="E361" t="n">
        <v>94</v>
      </c>
      <c r="F361" t="n">
        <v>57</v>
      </c>
      <c r="G361" t="n">
        <v>127</v>
      </c>
      <c r="H361" t="n">
        <v>3</v>
      </c>
      <c r="I361" t="n">
        <v>23</v>
      </c>
      <c r="J361" t="inlineStr">
        <is>
          <t>Healthy</t>
        </is>
      </c>
      <c r="K361" t="n">
        <v>4</v>
      </c>
    </row>
    <row r="362">
      <c r="A362" t="inlineStr">
        <is>
          <t>INV00361</t>
        </is>
      </c>
      <c r="B362" t="inlineStr">
        <is>
          <t>OUT008</t>
        </is>
      </c>
      <c r="C362" t="inlineStr">
        <is>
          <t>BP011</t>
        </is>
      </c>
      <c r="D362" t="n">
        <v>60</v>
      </c>
      <c r="E362" t="n">
        <v>28</v>
      </c>
      <c r="F362" t="n">
        <v>73</v>
      </c>
      <c r="G362" t="n">
        <v>15</v>
      </c>
      <c r="H362" t="n">
        <v>0</v>
      </c>
      <c r="I362" t="n">
        <v>20</v>
      </c>
      <c r="J362" t="inlineStr">
        <is>
          <t>Reorder Required</t>
        </is>
      </c>
      <c r="K362" t="n">
        <v>4</v>
      </c>
      <c r="L362" t="inlineStr">
        <is>
          <t>Restock immediately</t>
        </is>
      </c>
    </row>
    <row r="363">
      <c r="A363" t="inlineStr">
        <is>
          <t>INV00362</t>
        </is>
      </c>
      <c r="B363" t="inlineStr">
        <is>
          <t>OUT008</t>
        </is>
      </c>
      <c r="C363" t="inlineStr">
        <is>
          <t>BP012</t>
        </is>
      </c>
      <c r="D363" t="n">
        <v>130</v>
      </c>
      <c r="E363" t="n">
        <v>29</v>
      </c>
      <c r="F363" t="n">
        <v>37</v>
      </c>
      <c r="G363" t="n">
        <v>120</v>
      </c>
      <c r="H363" t="n">
        <v>2</v>
      </c>
      <c r="I363" t="n">
        <v>33</v>
      </c>
      <c r="J363" t="inlineStr">
        <is>
          <t>Healthy</t>
        </is>
      </c>
      <c r="K363" t="n">
        <v>4</v>
      </c>
    </row>
    <row r="364">
      <c r="A364" t="inlineStr">
        <is>
          <t>INV00363</t>
        </is>
      </c>
      <c r="B364" t="inlineStr">
        <is>
          <t>OUT008</t>
        </is>
      </c>
      <c r="C364" t="inlineStr">
        <is>
          <t>BP013</t>
        </is>
      </c>
      <c r="D364" t="n">
        <v>57</v>
      </c>
      <c r="E364" t="n">
        <v>79</v>
      </c>
      <c r="F364" t="n">
        <v>95</v>
      </c>
      <c r="G364" t="n">
        <v>38</v>
      </c>
      <c r="H364" t="n">
        <v>3</v>
      </c>
      <c r="I364" t="n">
        <v>15</v>
      </c>
      <c r="J364" t="inlineStr">
        <is>
          <t>Healthy</t>
        </is>
      </c>
      <c r="K364" t="n">
        <v>4</v>
      </c>
    </row>
    <row r="365">
      <c r="A365" t="inlineStr">
        <is>
          <t>INV00364</t>
        </is>
      </c>
      <c r="B365" t="inlineStr">
        <is>
          <t>OUT008</t>
        </is>
      </c>
      <c r="C365" t="inlineStr">
        <is>
          <t>BP014</t>
        </is>
      </c>
      <c r="D365" t="n">
        <v>93</v>
      </c>
      <c r="E365" t="n">
        <v>100</v>
      </c>
      <c r="F365" t="n">
        <v>69</v>
      </c>
      <c r="G365" t="n">
        <v>121</v>
      </c>
      <c r="H365" t="n">
        <v>3</v>
      </c>
      <c r="I365" t="n">
        <v>30</v>
      </c>
      <c r="J365" t="inlineStr">
        <is>
          <t>Healthy</t>
        </is>
      </c>
      <c r="K365" t="n">
        <v>2</v>
      </c>
    </row>
    <row r="366">
      <c r="A366" t="inlineStr">
        <is>
          <t>INV00365</t>
        </is>
      </c>
      <c r="B366" t="inlineStr">
        <is>
          <t>OUT008</t>
        </is>
      </c>
      <c r="C366" t="inlineStr">
        <is>
          <t>BP015</t>
        </is>
      </c>
      <c r="D366" t="n">
        <v>72</v>
      </c>
      <c r="E366" t="n">
        <v>26</v>
      </c>
      <c r="F366" t="n">
        <v>47</v>
      </c>
      <c r="G366" t="n">
        <v>51</v>
      </c>
      <c r="H366" t="n">
        <v>0</v>
      </c>
      <c r="I366" t="n">
        <v>34</v>
      </c>
      <c r="J366" t="inlineStr">
        <is>
          <t>Healthy</t>
        </is>
      </c>
      <c r="K366" t="n">
        <v>2</v>
      </c>
    </row>
    <row r="367">
      <c r="A367" t="inlineStr">
        <is>
          <t>INV00366</t>
        </is>
      </c>
      <c r="B367" t="inlineStr">
        <is>
          <t>OUT008</t>
        </is>
      </c>
      <c r="C367" t="inlineStr">
        <is>
          <t>BP016</t>
        </is>
      </c>
      <c r="D367" t="n">
        <v>47</v>
      </c>
      <c r="E367" t="n">
        <v>41</v>
      </c>
      <c r="F367" t="n">
        <v>52</v>
      </c>
      <c r="G367" t="n">
        <v>36</v>
      </c>
      <c r="H367" t="n">
        <v>0</v>
      </c>
      <c r="I367" t="n">
        <v>33</v>
      </c>
      <c r="J367" t="inlineStr">
        <is>
          <t>Healthy</t>
        </is>
      </c>
      <c r="K367" t="n">
        <v>1</v>
      </c>
    </row>
    <row r="368">
      <c r="A368" t="inlineStr">
        <is>
          <t>INV00367</t>
        </is>
      </c>
      <c r="B368" t="inlineStr">
        <is>
          <t>OUT008</t>
        </is>
      </c>
      <c r="C368" t="inlineStr">
        <is>
          <t>BP017</t>
        </is>
      </c>
      <c r="D368" t="n">
        <v>100</v>
      </c>
      <c r="E368" t="n">
        <v>70</v>
      </c>
      <c r="F368" t="n">
        <v>44</v>
      </c>
      <c r="G368" t="n">
        <v>124</v>
      </c>
      <c r="H368" t="n">
        <v>2</v>
      </c>
      <c r="I368" t="n">
        <v>34</v>
      </c>
      <c r="J368" t="inlineStr">
        <is>
          <t>Healthy</t>
        </is>
      </c>
      <c r="K368" t="n">
        <v>1</v>
      </c>
    </row>
    <row r="369">
      <c r="A369" t="inlineStr">
        <is>
          <t>INV00368</t>
        </is>
      </c>
      <c r="B369" t="inlineStr">
        <is>
          <t>OUT008</t>
        </is>
      </c>
      <c r="C369" t="inlineStr">
        <is>
          <t>BP018</t>
        </is>
      </c>
      <c r="D369" t="n">
        <v>68</v>
      </c>
      <c r="E369" t="n">
        <v>67</v>
      </c>
      <c r="F369" t="n">
        <v>106</v>
      </c>
      <c r="G369" t="n">
        <v>28</v>
      </c>
      <c r="H369" t="n">
        <v>1</v>
      </c>
      <c r="I369" t="n">
        <v>25</v>
      </c>
      <c r="J369" t="inlineStr">
        <is>
          <t>Healthy</t>
        </is>
      </c>
      <c r="K369" t="n">
        <v>5</v>
      </c>
    </row>
    <row r="370">
      <c r="A370" t="inlineStr">
        <is>
          <t>INV00369</t>
        </is>
      </c>
      <c r="B370" t="inlineStr">
        <is>
          <t>OUT008</t>
        </is>
      </c>
      <c r="C370" t="inlineStr">
        <is>
          <t>BP019</t>
        </is>
      </c>
      <c r="D370" t="n">
        <v>137</v>
      </c>
      <c r="E370" t="n">
        <v>63</v>
      </c>
      <c r="F370" t="n">
        <v>120</v>
      </c>
      <c r="G370" t="n">
        <v>78</v>
      </c>
      <c r="H370" t="n">
        <v>2</v>
      </c>
      <c r="I370" t="n">
        <v>17</v>
      </c>
      <c r="J370" t="inlineStr">
        <is>
          <t>Healthy</t>
        </is>
      </c>
      <c r="K370" t="n">
        <v>3</v>
      </c>
    </row>
    <row r="371">
      <c r="A371" t="inlineStr">
        <is>
          <t>INV00370</t>
        </is>
      </c>
      <c r="B371" t="inlineStr">
        <is>
          <t>OUT008</t>
        </is>
      </c>
      <c r="C371" t="inlineStr">
        <is>
          <t>BP020</t>
        </is>
      </c>
      <c r="D371" t="n">
        <v>142</v>
      </c>
      <c r="E371" t="n">
        <v>21</v>
      </c>
      <c r="F371" t="n">
        <v>79</v>
      </c>
      <c r="G371" t="n">
        <v>83</v>
      </c>
      <c r="H371" t="n">
        <v>1</v>
      </c>
      <c r="I371" t="n">
        <v>39</v>
      </c>
      <c r="J371" t="inlineStr">
        <is>
          <t>Healthy</t>
        </is>
      </c>
      <c r="K371" t="n">
        <v>1</v>
      </c>
    </row>
    <row r="372">
      <c r="A372" t="inlineStr">
        <is>
          <t>INV00371</t>
        </is>
      </c>
      <c r="B372" t="inlineStr">
        <is>
          <t>OUT008</t>
        </is>
      </c>
      <c r="C372" t="inlineStr">
        <is>
          <t>BP021</t>
        </is>
      </c>
      <c r="D372" t="n">
        <v>57</v>
      </c>
      <c r="E372" t="n">
        <v>56</v>
      </c>
      <c r="F372" t="n">
        <v>63</v>
      </c>
      <c r="G372" t="n">
        <v>50</v>
      </c>
      <c r="H372" t="n">
        <v>0</v>
      </c>
      <c r="I372" t="n">
        <v>35</v>
      </c>
      <c r="J372" t="inlineStr">
        <is>
          <t>Healthy</t>
        </is>
      </c>
      <c r="K372" t="n">
        <v>2</v>
      </c>
    </row>
    <row r="373">
      <c r="A373" t="inlineStr">
        <is>
          <t>INV00372</t>
        </is>
      </c>
      <c r="B373" t="inlineStr">
        <is>
          <t>OUT008</t>
        </is>
      </c>
      <c r="C373" t="inlineStr">
        <is>
          <t>BP022</t>
        </is>
      </c>
      <c r="D373" t="n">
        <v>119</v>
      </c>
      <c r="E373" t="n">
        <v>97</v>
      </c>
      <c r="F373" t="n">
        <v>48</v>
      </c>
      <c r="G373" t="n">
        <v>167</v>
      </c>
      <c r="H373" t="n">
        <v>1</v>
      </c>
      <c r="I373" t="n">
        <v>39</v>
      </c>
      <c r="J373" t="inlineStr">
        <is>
          <t>Healthy</t>
        </is>
      </c>
      <c r="K373" t="n">
        <v>5</v>
      </c>
    </row>
    <row r="374">
      <c r="A374" t="inlineStr">
        <is>
          <t>INV00373</t>
        </is>
      </c>
      <c r="B374" t="inlineStr">
        <is>
          <t>OUT008</t>
        </is>
      </c>
      <c r="C374" t="inlineStr">
        <is>
          <t>BP023</t>
        </is>
      </c>
      <c r="D374" t="n">
        <v>72</v>
      </c>
      <c r="E374" t="n">
        <v>36</v>
      </c>
      <c r="F374" t="n">
        <v>97</v>
      </c>
      <c r="G374" t="n">
        <v>11</v>
      </c>
      <c r="H374" t="n">
        <v>0</v>
      </c>
      <c r="I374" t="n">
        <v>26</v>
      </c>
      <c r="J374" t="inlineStr">
        <is>
          <t>Reorder Required</t>
        </is>
      </c>
      <c r="K374" t="n">
        <v>2</v>
      </c>
      <c r="L374" t="inlineStr">
        <is>
          <t>Restock immediately</t>
        </is>
      </c>
    </row>
    <row r="375">
      <c r="A375" t="inlineStr">
        <is>
          <t>INV00374</t>
        </is>
      </c>
      <c r="B375" t="inlineStr">
        <is>
          <t>OUT008</t>
        </is>
      </c>
      <c r="C375" t="inlineStr">
        <is>
          <t>BP024</t>
        </is>
      </c>
      <c r="D375" t="n">
        <v>112</v>
      </c>
      <c r="E375" t="n">
        <v>57</v>
      </c>
      <c r="F375" t="n">
        <v>126</v>
      </c>
      <c r="G375" t="n">
        <v>41</v>
      </c>
      <c r="H375" t="n">
        <v>2</v>
      </c>
      <c r="I375" t="n">
        <v>38</v>
      </c>
      <c r="J375" t="inlineStr">
        <is>
          <t>Healthy</t>
        </is>
      </c>
      <c r="K375" t="n">
        <v>5</v>
      </c>
    </row>
    <row r="376">
      <c r="A376" t="inlineStr">
        <is>
          <t>INV00375</t>
        </is>
      </c>
      <c r="B376" t="inlineStr">
        <is>
          <t>OUT008</t>
        </is>
      </c>
      <c r="C376" t="inlineStr">
        <is>
          <t>BP025</t>
        </is>
      </c>
      <c r="D376" t="n">
        <v>113</v>
      </c>
      <c r="E376" t="n">
        <v>29</v>
      </c>
      <c r="F376" t="n">
        <v>76</v>
      </c>
      <c r="G376" t="n">
        <v>64</v>
      </c>
      <c r="H376" t="n">
        <v>2</v>
      </c>
      <c r="I376" t="n">
        <v>30</v>
      </c>
      <c r="J376" t="inlineStr">
        <is>
          <t>Healthy</t>
        </is>
      </c>
      <c r="K376" t="n">
        <v>5</v>
      </c>
    </row>
    <row r="377">
      <c r="A377" t="inlineStr">
        <is>
          <t>INV00376</t>
        </is>
      </c>
      <c r="B377" t="inlineStr">
        <is>
          <t>OUT008</t>
        </is>
      </c>
      <c r="C377" t="inlineStr">
        <is>
          <t>BP026</t>
        </is>
      </c>
      <c r="D377" t="n">
        <v>53</v>
      </c>
      <c r="E377" t="n">
        <v>80</v>
      </c>
      <c r="F377" t="n">
        <v>109</v>
      </c>
      <c r="G377" t="n">
        <v>24</v>
      </c>
      <c r="H377" t="n">
        <v>0</v>
      </c>
      <c r="I377" t="n">
        <v>18</v>
      </c>
      <c r="J377" t="inlineStr">
        <is>
          <t>Healthy</t>
        </is>
      </c>
      <c r="K377" t="n">
        <v>4</v>
      </c>
    </row>
    <row r="378">
      <c r="A378" t="inlineStr">
        <is>
          <t>INV00377</t>
        </is>
      </c>
      <c r="B378" t="inlineStr">
        <is>
          <t>OUT008</t>
        </is>
      </c>
      <c r="C378" t="inlineStr">
        <is>
          <t>BP027</t>
        </is>
      </c>
      <c r="D378" t="n">
        <v>121</v>
      </c>
      <c r="E378" t="n">
        <v>63</v>
      </c>
      <c r="F378" t="n">
        <v>119</v>
      </c>
      <c r="G378" t="n">
        <v>62</v>
      </c>
      <c r="H378" t="n">
        <v>3</v>
      </c>
      <c r="I378" t="n">
        <v>32</v>
      </c>
      <c r="J378" t="inlineStr">
        <is>
          <t>Healthy</t>
        </is>
      </c>
      <c r="K378" t="n">
        <v>3</v>
      </c>
    </row>
    <row r="379">
      <c r="A379" t="inlineStr">
        <is>
          <t>INV00378</t>
        </is>
      </c>
      <c r="B379" t="inlineStr">
        <is>
          <t>OUT008</t>
        </is>
      </c>
      <c r="C379" t="inlineStr">
        <is>
          <t>BP028</t>
        </is>
      </c>
      <c r="D379" t="n">
        <v>125</v>
      </c>
      <c r="E379" t="n">
        <v>53</v>
      </c>
      <c r="F379" t="n">
        <v>69</v>
      </c>
      <c r="G379" t="n">
        <v>108</v>
      </c>
      <c r="H379" t="n">
        <v>1</v>
      </c>
      <c r="I379" t="n">
        <v>34</v>
      </c>
      <c r="J379" t="inlineStr">
        <is>
          <t>Healthy</t>
        </is>
      </c>
      <c r="K379" t="n">
        <v>4</v>
      </c>
    </row>
    <row r="380">
      <c r="A380" t="inlineStr">
        <is>
          <t>INV00379</t>
        </is>
      </c>
      <c r="B380" t="inlineStr">
        <is>
          <t>OUT008</t>
        </is>
      </c>
      <c r="C380" t="inlineStr">
        <is>
          <t>BP029</t>
        </is>
      </c>
      <c r="D380" t="n">
        <v>100</v>
      </c>
      <c r="E380" t="n">
        <v>63</v>
      </c>
      <c r="F380" t="n">
        <v>39</v>
      </c>
      <c r="G380" t="n">
        <v>122</v>
      </c>
      <c r="H380" t="n">
        <v>2</v>
      </c>
      <c r="I380" t="n">
        <v>31</v>
      </c>
      <c r="J380" t="inlineStr">
        <is>
          <t>Healthy</t>
        </is>
      </c>
      <c r="K380" t="n">
        <v>4</v>
      </c>
    </row>
    <row r="381">
      <c r="A381" t="inlineStr">
        <is>
          <t>INV00380</t>
        </is>
      </c>
      <c r="B381" t="inlineStr">
        <is>
          <t>OUT008</t>
        </is>
      </c>
      <c r="C381" t="inlineStr">
        <is>
          <t>BP030</t>
        </is>
      </c>
      <c r="D381" t="n">
        <v>140</v>
      </c>
      <c r="E381" t="n">
        <v>36</v>
      </c>
      <c r="F381" t="n">
        <v>86</v>
      </c>
      <c r="G381" t="n">
        <v>82</v>
      </c>
      <c r="H381" t="n">
        <v>8</v>
      </c>
      <c r="I381" t="n">
        <v>27</v>
      </c>
      <c r="J381" t="inlineStr">
        <is>
          <t>Healthy</t>
        </is>
      </c>
      <c r="K381" t="n">
        <v>5</v>
      </c>
    </row>
    <row r="382">
      <c r="A382" t="inlineStr">
        <is>
          <t>INV00381</t>
        </is>
      </c>
      <c r="B382" t="inlineStr">
        <is>
          <t>OUT008</t>
        </is>
      </c>
      <c r="C382" t="inlineStr">
        <is>
          <t>BP031</t>
        </is>
      </c>
      <c r="D382" t="n">
        <v>55</v>
      </c>
      <c r="E382" t="n">
        <v>74</v>
      </c>
      <c r="F382" t="n">
        <v>107</v>
      </c>
      <c r="G382" t="n">
        <v>15</v>
      </c>
      <c r="H382" t="n">
        <v>7</v>
      </c>
      <c r="I382" t="n">
        <v>20</v>
      </c>
      <c r="J382" t="inlineStr">
        <is>
          <t>Reorder Required</t>
        </is>
      </c>
      <c r="K382" t="n">
        <v>3</v>
      </c>
      <c r="L382" t="inlineStr">
        <is>
          <t>Restock immediately</t>
        </is>
      </c>
    </row>
    <row r="383">
      <c r="A383" t="inlineStr">
        <is>
          <t>INV00382</t>
        </is>
      </c>
      <c r="B383" t="inlineStr">
        <is>
          <t>OUT008</t>
        </is>
      </c>
      <c r="C383" t="inlineStr">
        <is>
          <t>BP032</t>
        </is>
      </c>
      <c r="D383" t="n">
        <v>104</v>
      </c>
      <c r="E383" t="n">
        <v>78</v>
      </c>
      <c r="F383" t="n">
        <v>42</v>
      </c>
      <c r="G383" t="n">
        <v>135</v>
      </c>
      <c r="H383" t="n">
        <v>5</v>
      </c>
      <c r="I383" t="n">
        <v>40</v>
      </c>
      <c r="J383" t="inlineStr">
        <is>
          <t>Healthy</t>
        </is>
      </c>
      <c r="K383" t="n">
        <v>4</v>
      </c>
    </row>
    <row r="384">
      <c r="A384" t="inlineStr">
        <is>
          <t>INV00383</t>
        </is>
      </c>
      <c r="B384" t="inlineStr">
        <is>
          <t>OUT008</t>
        </is>
      </c>
      <c r="C384" t="inlineStr">
        <is>
          <t>BP033</t>
        </is>
      </c>
      <c r="D384" t="n">
        <v>78</v>
      </c>
      <c r="E384" t="n">
        <v>92</v>
      </c>
      <c r="F384" t="n">
        <v>138</v>
      </c>
      <c r="G384" t="n">
        <v>28</v>
      </c>
      <c r="H384" t="n">
        <v>4</v>
      </c>
      <c r="I384" t="n">
        <v>25</v>
      </c>
      <c r="J384" t="inlineStr">
        <is>
          <t>Healthy</t>
        </is>
      </c>
      <c r="K384" t="n">
        <v>4</v>
      </c>
    </row>
    <row r="385">
      <c r="A385" t="inlineStr">
        <is>
          <t>INV00384</t>
        </is>
      </c>
      <c r="B385" t="inlineStr">
        <is>
          <t>OUT008</t>
        </is>
      </c>
      <c r="C385" t="inlineStr">
        <is>
          <t>BP034</t>
        </is>
      </c>
      <c r="D385" t="n">
        <v>60</v>
      </c>
      <c r="E385" t="n">
        <v>56</v>
      </c>
      <c r="F385" t="n">
        <v>135</v>
      </c>
      <c r="G385" t="n">
        <v>0</v>
      </c>
      <c r="H385" t="n">
        <v>6</v>
      </c>
      <c r="I385" t="n">
        <v>17</v>
      </c>
      <c r="J385" t="inlineStr">
        <is>
          <t>Reorder Required</t>
        </is>
      </c>
      <c r="K385" t="n">
        <v>4</v>
      </c>
      <c r="L385" t="inlineStr">
        <is>
          <t>Restock immediately</t>
        </is>
      </c>
    </row>
    <row r="386">
      <c r="A386" t="inlineStr">
        <is>
          <t>INV00385</t>
        </is>
      </c>
      <c r="B386" t="inlineStr">
        <is>
          <t>OUT008</t>
        </is>
      </c>
      <c r="C386" t="inlineStr">
        <is>
          <t>BP035</t>
        </is>
      </c>
      <c r="D386" t="n">
        <v>118</v>
      </c>
      <c r="E386" t="n">
        <v>79</v>
      </c>
      <c r="F386" t="n">
        <v>84</v>
      </c>
      <c r="G386" t="n">
        <v>109</v>
      </c>
      <c r="H386" t="n">
        <v>4</v>
      </c>
      <c r="I386" t="n">
        <v>17</v>
      </c>
      <c r="J386" t="inlineStr">
        <is>
          <t>Healthy</t>
        </is>
      </c>
      <c r="K386" t="n">
        <v>4</v>
      </c>
    </row>
    <row r="387">
      <c r="A387" t="inlineStr">
        <is>
          <t>INV00386</t>
        </is>
      </c>
      <c r="B387" t="inlineStr">
        <is>
          <t>OUT008</t>
        </is>
      </c>
      <c r="C387" t="inlineStr">
        <is>
          <t>BP036</t>
        </is>
      </c>
      <c r="D387" t="n">
        <v>40</v>
      </c>
      <c r="E387" t="n">
        <v>54</v>
      </c>
      <c r="F387" t="n">
        <v>37</v>
      </c>
      <c r="G387" t="n">
        <v>50</v>
      </c>
      <c r="H387" t="n">
        <v>7</v>
      </c>
      <c r="I387" t="n">
        <v>27</v>
      </c>
      <c r="J387" t="inlineStr">
        <is>
          <t>Healthy</t>
        </is>
      </c>
      <c r="K387" t="n">
        <v>3</v>
      </c>
    </row>
    <row r="388">
      <c r="A388" t="inlineStr">
        <is>
          <t>INV00387</t>
        </is>
      </c>
      <c r="B388" t="inlineStr">
        <is>
          <t>OUT008</t>
        </is>
      </c>
      <c r="C388" t="inlineStr">
        <is>
          <t>BP037</t>
        </is>
      </c>
      <c r="D388" t="n">
        <v>73</v>
      </c>
      <c r="E388" t="n">
        <v>24</v>
      </c>
      <c r="F388" t="n">
        <v>84</v>
      </c>
      <c r="G388" t="n">
        <v>11</v>
      </c>
      <c r="H388" t="n">
        <v>2</v>
      </c>
      <c r="I388" t="n">
        <v>22</v>
      </c>
      <c r="J388" t="inlineStr">
        <is>
          <t>Reorder Required</t>
        </is>
      </c>
      <c r="K388" t="n">
        <v>5</v>
      </c>
      <c r="L388" t="inlineStr">
        <is>
          <t>Restock immediately</t>
        </is>
      </c>
    </row>
    <row r="389">
      <c r="A389" t="inlineStr">
        <is>
          <t>INV00388</t>
        </is>
      </c>
      <c r="B389" t="inlineStr">
        <is>
          <t>OUT008</t>
        </is>
      </c>
      <c r="C389" t="inlineStr">
        <is>
          <t>BP038</t>
        </is>
      </c>
      <c r="D389" t="n">
        <v>42</v>
      </c>
      <c r="E389" t="n">
        <v>81</v>
      </c>
      <c r="F389" t="n">
        <v>41</v>
      </c>
      <c r="G389" t="n">
        <v>80</v>
      </c>
      <c r="H389" t="n">
        <v>2</v>
      </c>
      <c r="I389" t="n">
        <v>26</v>
      </c>
      <c r="J389" t="inlineStr">
        <is>
          <t>Healthy</t>
        </is>
      </c>
      <c r="K389" t="n">
        <v>3</v>
      </c>
    </row>
    <row r="390">
      <c r="A390" t="inlineStr">
        <is>
          <t>INV00389</t>
        </is>
      </c>
      <c r="B390" t="inlineStr">
        <is>
          <t>OUT008</t>
        </is>
      </c>
      <c r="C390" t="inlineStr">
        <is>
          <t>BP039</t>
        </is>
      </c>
      <c r="D390" t="n">
        <v>146</v>
      </c>
      <c r="E390" t="n">
        <v>42</v>
      </c>
      <c r="F390" t="n">
        <v>47</v>
      </c>
      <c r="G390" t="n">
        <v>138</v>
      </c>
      <c r="H390" t="n">
        <v>3</v>
      </c>
      <c r="I390" t="n">
        <v>35</v>
      </c>
      <c r="J390" t="inlineStr">
        <is>
          <t>Healthy</t>
        </is>
      </c>
      <c r="K390" t="n">
        <v>5</v>
      </c>
    </row>
    <row r="391">
      <c r="A391" t="inlineStr">
        <is>
          <t>INV00390</t>
        </is>
      </c>
      <c r="B391" t="inlineStr">
        <is>
          <t>OUT008</t>
        </is>
      </c>
      <c r="C391" t="inlineStr">
        <is>
          <t>BP040</t>
        </is>
      </c>
      <c r="D391" t="n">
        <v>100</v>
      </c>
      <c r="E391" t="n">
        <v>77</v>
      </c>
      <c r="F391" t="n">
        <v>133</v>
      </c>
      <c r="G391" t="n">
        <v>37</v>
      </c>
      <c r="H391" t="n">
        <v>7</v>
      </c>
      <c r="I391" t="n">
        <v>23</v>
      </c>
      <c r="J391" t="inlineStr">
        <is>
          <t>Healthy</t>
        </is>
      </c>
      <c r="K391" t="n">
        <v>5</v>
      </c>
    </row>
    <row r="392">
      <c r="A392" t="inlineStr">
        <is>
          <t>INV00391</t>
        </is>
      </c>
      <c r="B392" t="inlineStr">
        <is>
          <t>OUT008</t>
        </is>
      </c>
      <c r="C392" t="inlineStr">
        <is>
          <t>BP041</t>
        </is>
      </c>
      <c r="D392" t="n">
        <v>87</v>
      </c>
      <c r="E392" t="n">
        <v>37</v>
      </c>
      <c r="F392" t="n">
        <v>88</v>
      </c>
      <c r="G392" t="n">
        <v>33</v>
      </c>
      <c r="H392" t="n">
        <v>3</v>
      </c>
      <c r="I392" t="n">
        <v>20</v>
      </c>
      <c r="J392" t="inlineStr">
        <is>
          <t>Healthy</t>
        </is>
      </c>
      <c r="K392" t="n">
        <v>3</v>
      </c>
    </row>
    <row r="393">
      <c r="A393" t="inlineStr">
        <is>
          <t>INV00392</t>
        </is>
      </c>
      <c r="B393" t="inlineStr">
        <is>
          <t>OUT008</t>
        </is>
      </c>
      <c r="C393" t="inlineStr">
        <is>
          <t>BP042</t>
        </is>
      </c>
      <c r="D393" t="n">
        <v>108</v>
      </c>
      <c r="E393" t="n">
        <v>28</v>
      </c>
      <c r="F393" t="n">
        <v>138</v>
      </c>
      <c r="G393" t="n">
        <v>0</v>
      </c>
      <c r="H393" t="n">
        <v>2</v>
      </c>
      <c r="I393" t="n">
        <v>16</v>
      </c>
      <c r="J393" t="inlineStr">
        <is>
          <t>Reorder Required</t>
        </is>
      </c>
      <c r="K393" t="n">
        <v>4</v>
      </c>
      <c r="L393" t="inlineStr">
        <is>
          <t>Restock immediately</t>
        </is>
      </c>
    </row>
    <row r="394">
      <c r="A394" t="inlineStr">
        <is>
          <t>INV00393</t>
        </is>
      </c>
      <c r="B394" t="inlineStr">
        <is>
          <t>OUT008</t>
        </is>
      </c>
      <c r="C394" t="inlineStr">
        <is>
          <t>BP043</t>
        </is>
      </c>
      <c r="D394" t="n">
        <v>135</v>
      </c>
      <c r="E394" t="n">
        <v>72</v>
      </c>
      <c r="F394" t="n">
        <v>119</v>
      </c>
      <c r="G394" t="n">
        <v>85</v>
      </c>
      <c r="H394" t="n">
        <v>3</v>
      </c>
      <c r="I394" t="n">
        <v>31</v>
      </c>
      <c r="J394" t="inlineStr">
        <is>
          <t>Healthy</t>
        </is>
      </c>
      <c r="K394" t="n">
        <v>1</v>
      </c>
    </row>
    <row r="395">
      <c r="A395" t="inlineStr">
        <is>
          <t>INV00394</t>
        </is>
      </c>
      <c r="B395" t="inlineStr">
        <is>
          <t>OUT008</t>
        </is>
      </c>
      <c r="C395" t="inlineStr">
        <is>
          <t>BP044</t>
        </is>
      </c>
      <c r="D395" t="n">
        <v>149</v>
      </c>
      <c r="E395" t="n">
        <v>78</v>
      </c>
      <c r="F395" t="n">
        <v>74</v>
      </c>
      <c r="G395" t="n">
        <v>150</v>
      </c>
      <c r="H395" t="n">
        <v>3</v>
      </c>
      <c r="I395" t="n">
        <v>29</v>
      </c>
      <c r="J395" t="inlineStr">
        <is>
          <t>Healthy</t>
        </is>
      </c>
      <c r="K395" t="n">
        <v>3</v>
      </c>
    </row>
    <row r="396">
      <c r="A396" t="inlineStr">
        <is>
          <t>INV00395</t>
        </is>
      </c>
      <c r="B396" t="inlineStr">
        <is>
          <t>OUT008</t>
        </is>
      </c>
      <c r="C396" t="inlineStr">
        <is>
          <t>BP045</t>
        </is>
      </c>
      <c r="D396" t="n">
        <v>70</v>
      </c>
      <c r="E396" t="n">
        <v>20</v>
      </c>
      <c r="F396" t="n">
        <v>56</v>
      </c>
      <c r="G396" t="n">
        <v>34</v>
      </c>
      <c r="H396" t="n">
        <v>0</v>
      </c>
      <c r="I396" t="n">
        <v>36</v>
      </c>
      <c r="J396" t="inlineStr">
        <is>
          <t>Reorder Required</t>
        </is>
      </c>
      <c r="K396" t="n">
        <v>2</v>
      </c>
      <c r="L396" t="inlineStr">
        <is>
          <t>Restock immediately</t>
        </is>
      </c>
    </row>
    <row r="397">
      <c r="A397" t="inlineStr">
        <is>
          <t>INV00396</t>
        </is>
      </c>
      <c r="B397" t="inlineStr">
        <is>
          <t>OUT008</t>
        </is>
      </c>
      <c r="C397" t="inlineStr">
        <is>
          <t>BP046</t>
        </is>
      </c>
      <c r="D397" t="n">
        <v>109</v>
      </c>
      <c r="E397" t="n">
        <v>30</v>
      </c>
      <c r="F397" t="n">
        <v>59</v>
      </c>
      <c r="G397" t="n">
        <v>78</v>
      </c>
      <c r="H397" t="n">
        <v>2</v>
      </c>
      <c r="I397" t="n">
        <v>34</v>
      </c>
      <c r="J397" t="inlineStr">
        <is>
          <t>Healthy</t>
        </is>
      </c>
      <c r="K397" t="n">
        <v>4</v>
      </c>
    </row>
    <row r="398">
      <c r="A398" t="inlineStr">
        <is>
          <t>INV00397</t>
        </is>
      </c>
      <c r="B398" t="inlineStr">
        <is>
          <t>OUT008</t>
        </is>
      </c>
      <c r="C398" t="inlineStr">
        <is>
          <t>BP047</t>
        </is>
      </c>
      <c r="D398" t="n">
        <v>146</v>
      </c>
      <c r="E398" t="n">
        <v>84</v>
      </c>
      <c r="F398" t="n">
        <v>125</v>
      </c>
      <c r="G398" t="n">
        <v>102</v>
      </c>
      <c r="H398" t="n">
        <v>3</v>
      </c>
      <c r="I398" t="n">
        <v>25</v>
      </c>
      <c r="J398" t="inlineStr">
        <is>
          <t>Healthy</t>
        </is>
      </c>
      <c r="K398" t="n">
        <v>2</v>
      </c>
    </row>
    <row r="399">
      <c r="A399" t="inlineStr">
        <is>
          <t>INV00398</t>
        </is>
      </c>
      <c r="B399" t="inlineStr">
        <is>
          <t>OUT008</t>
        </is>
      </c>
      <c r="C399" t="inlineStr">
        <is>
          <t>BP048</t>
        </is>
      </c>
      <c r="D399" t="n">
        <v>85</v>
      </c>
      <c r="E399" t="n">
        <v>86</v>
      </c>
      <c r="F399" t="n">
        <v>76</v>
      </c>
      <c r="G399" t="n">
        <v>95</v>
      </c>
      <c r="H399" t="n">
        <v>0</v>
      </c>
      <c r="I399" t="n">
        <v>37</v>
      </c>
      <c r="J399" t="inlineStr">
        <is>
          <t>Healthy</t>
        </is>
      </c>
      <c r="K399" t="n">
        <v>1</v>
      </c>
    </row>
    <row r="400">
      <c r="A400" t="inlineStr">
        <is>
          <t>INV00399</t>
        </is>
      </c>
      <c r="B400" t="inlineStr">
        <is>
          <t>OUT008</t>
        </is>
      </c>
      <c r="C400" t="inlineStr">
        <is>
          <t>BP049</t>
        </is>
      </c>
      <c r="D400" t="n">
        <v>105</v>
      </c>
      <c r="E400" t="n">
        <v>73</v>
      </c>
      <c r="F400" t="n">
        <v>57</v>
      </c>
      <c r="G400" t="n">
        <v>118</v>
      </c>
      <c r="H400" t="n">
        <v>3</v>
      </c>
      <c r="I400" t="n">
        <v>16</v>
      </c>
      <c r="J400" t="inlineStr">
        <is>
          <t>Healthy</t>
        </is>
      </c>
      <c r="K400" t="n">
        <v>2</v>
      </c>
    </row>
    <row r="401">
      <c r="A401" t="inlineStr">
        <is>
          <t>INV00400</t>
        </is>
      </c>
      <c r="B401" t="inlineStr">
        <is>
          <t>OUT008</t>
        </is>
      </c>
      <c r="C401" t="inlineStr">
        <is>
          <t>BP050</t>
        </is>
      </c>
      <c r="D401" t="n">
        <v>83</v>
      </c>
      <c r="E401" t="n">
        <v>61</v>
      </c>
      <c r="F401" t="n">
        <v>110</v>
      </c>
      <c r="G401" t="n">
        <v>32</v>
      </c>
      <c r="H401" t="n">
        <v>2</v>
      </c>
      <c r="I401" t="n">
        <v>25</v>
      </c>
      <c r="J401" t="inlineStr">
        <is>
          <t>Healthy</t>
        </is>
      </c>
      <c r="K401" t="n">
        <v>2</v>
      </c>
    </row>
    <row r="402">
      <c r="A402" t="inlineStr">
        <is>
          <t>INV00401</t>
        </is>
      </c>
      <c r="B402" t="inlineStr">
        <is>
          <t>OUT009</t>
        </is>
      </c>
      <c r="C402" t="inlineStr">
        <is>
          <t>BP001</t>
        </is>
      </c>
      <c r="D402" t="n">
        <v>66</v>
      </c>
      <c r="E402" t="n">
        <v>37</v>
      </c>
      <c r="F402" t="n">
        <v>94</v>
      </c>
      <c r="G402" t="n">
        <v>9</v>
      </c>
      <c r="H402" t="n">
        <v>0</v>
      </c>
      <c r="I402" t="n">
        <v>30</v>
      </c>
      <c r="J402" t="inlineStr">
        <is>
          <t>Reorder Required</t>
        </is>
      </c>
      <c r="K402" t="n">
        <v>1</v>
      </c>
      <c r="L402" t="inlineStr">
        <is>
          <t>Restock immediately</t>
        </is>
      </c>
    </row>
    <row r="403">
      <c r="A403" t="inlineStr">
        <is>
          <t>INV00402</t>
        </is>
      </c>
      <c r="B403" t="inlineStr">
        <is>
          <t>OUT009</t>
        </is>
      </c>
      <c r="C403" t="inlineStr">
        <is>
          <t>BP002</t>
        </is>
      </c>
      <c r="D403" t="n">
        <v>74</v>
      </c>
      <c r="E403" t="n">
        <v>32</v>
      </c>
      <c r="F403" t="n">
        <v>96</v>
      </c>
      <c r="G403" t="n">
        <v>9</v>
      </c>
      <c r="H403" t="n">
        <v>1</v>
      </c>
      <c r="I403" t="n">
        <v>30</v>
      </c>
      <c r="J403" t="inlineStr">
        <is>
          <t>Reorder Required</t>
        </is>
      </c>
      <c r="K403" t="n">
        <v>5</v>
      </c>
      <c r="L403" t="inlineStr">
        <is>
          <t>Restock immediately</t>
        </is>
      </c>
    </row>
    <row r="404">
      <c r="A404" t="inlineStr">
        <is>
          <t>INV00403</t>
        </is>
      </c>
      <c r="B404" t="inlineStr">
        <is>
          <t>OUT009</t>
        </is>
      </c>
      <c r="C404" t="inlineStr">
        <is>
          <t>BP003</t>
        </is>
      </c>
      <c r="D404" t="n">
        <v>88</v>
      </c>
      <c r="E404" t="n">
        <v>83</v>
      </c>
      <c r="F404" t="n">
        <v>134</v>
      </c>
      <c r="G404" t="n">
        <v>37</v>
      </c>
      <c r="H404" t="n">
        <v>0</v>
      </c>
      <c r="I404" t="n">
        <v>29</v>
      </c>
      <c r="J404" t="inlineStr">
        <is>
          <t>Healthy</t>
        </is>
      </c>
      <c r="K404" t="n">
        <v>3</v>
      </c>
    </row>
    <row r="405">
      <c r="A405" t="inlineStr">
        <is>
          <t>INV00404</t>
        </is>
      </c>
      <c r="B405" t="inlineStr">
        <is>
          <t>OUT009</t>
        </is>
      </c>
      <c r="C405" t="inlineStr">
        <is>
          <t>BP004</t>
        </is>
      </c>
      <c r="D405" t="n">
        <v>103</v>
      </c>
      <c r="E405" t="n">
        <v>20</v>
      </c>
      <c r="F405" t="n">
        <v>38</v>
      </c>
      <c r="G405" t="n">
        <v>82</v>
      </c>
      <c r="H405" t="n">
        <v>3</v>
      </c>
      <c r="I405" t="n">
        <v>30</v>
      </c>
      <c r="J405" t="inlineStr">
        <is>
          <t>Healthy</t>
        </is>
      </c>
      <c r="K405" t="n">
        <v>3</v>
      </c>
    </row>
    <row r="406">
      <c r="A406" t="inlineStr">
        <is>
          <t>INV00405</t>
        </is>
      </c>
      <c r="B406" t="inlineStr">
        <is>
          <t>OUT009</t>
        </is>
      </c>
      <c r="C406" t="inlineStr">
        <is>
          <t>BP005</t>
        </is>
      </c>
      <c r="D406" t="n">
        <v>139</v>
      </c>
      <c r="E406" t="n">
        <v>69</v>
      </c>
      <c r="F406" t="n">
        <v>92</v>
      </c>
      <c r="G406" t="n">
        <v>115</v>
      </c>
      <c r="H406" t="n">
        <v>1</v>
      </c>
      <c r="I406" t="n">
        <v>40</v>
      </c>
      <c r="J406" t="inlineStr">
        <is>
          <t>Healthy</t>
        </is>
      </c>
      <c r="K406" t="n">
        <v>5</v>
      </c>
    </row>
    <row r="407">
      <c r="A407" t="inlineStr">
        <is>
          <t>INV00406</t>
        </is>
      </c>
      <c r="B407" t="inlineStr">
        <is>
          <t>OUT009</t>
        </is>
      </c>
      <c r="C407" t="inlineStr">
        <is>
          <t>BP006</t>
        </is>
      </c>
      <c r="D407" t="n">
        <v>67</v>
      </c>
      <c r="E407" t="n">
        <v>73</v>
      </c>
      <c r="F407" t="n">
        <v>37</v>
      </c>
      <c r="G407" t="n">
        <v>103</v>
      </c>
      <c r="H407" t="n">
        <v>0</v>
      </c>
      <c r="I407" t="n">
        <v>27</v>
      </c>
      <c r="J407" t="inlineStr">
        <is>
          <t>Healthy</t>
        </is>
      </c>
      <c r="K407" t="n">
        <v>3</v>
      </c>
    </row>
    <row r="408">
      <c r="A408" t="inlineStr">
        <is>
          <t>INV00407</t>
        </is>
      </c>
      <c r="B408" t="inlineStr">
        <is>
          <t>OUT009</t>
        </is>
      </c>
      <c r="C408" t="inlineStr">
        <is>
          <t>BP007</t>
        </is>
      </c>
      <c r="D408" t="n">
        <v>42</v>
      </c>
      <c r="E408" t="n">
        <v>64</v>
      </c>
      <c r="F408" t="n">
        <v>48</v>
      </c>
      <c r="G408" t="n">
        <v>58</v>
      </c>
      <c r="H408" t="n">
        <v>0</v>
      </c>
      <c r="I408" t="n">
        <v>38</v>
      </c>
      <c r="J408" t="inlineStr">
        <is>
          <t>Healthy</t>
        </is>
      </c>
      <c r="K408" t="n">
        <v>5</v>
      </c>
    </row>
    <row r="409">
      <c r="A409" t="inlineStr">
        <is>
          <t>INV00408</t>
        </is>
      </c>
      <c r="B409" t="inlineStr">
        <is>
          <t>OUT009</t>
        </is>
      </c>
      <c r="C409" t="inlineStr">
        <is>
          <t>BP008</t>
        </is>
      </c>
      <c r="D409" t="n">
        <v>78</v>
      </c>
      <c r="E409" t="n">
        <v>21</v>
      </c>
      <c r="F409" t="n">
        <v>77</v>
      </c>
      <c r="G409" t="n">
        <v>20</v>
      </c>
      <c r="H409" t="n">
        <v>2</v>
      </c>
      <c r="I409" t="n">
        <v>34</v>
      </c>
      <c r="J409" t="inlineStr">
        <is>
          <t>Reorder Required</t>
        </is>
      </c>
      <c r="K409" t="n">
        <v>2</v>
      </c>
      <c r="L409" t="inlineStr">
        <is>
          <t>Restock immediately</t>
        </is>
      </c>
    </row>
    <row r="410">
      <c r="A410" t="inlineStr">
        <is>
          <t>INV00409</t>
        </is>
      </c>
      <c r="B410" t="inlineStr">
        <is>
          <t>OUT009</t>
        </is>
      </c>
      <c r="C410" t="inlineStr">
        <is>
          <t>BP009</t>
        </is>
      </c>
      <c r="D410" t="n">
        <v>51</v>
      </c>
      <c r="E410" t="n">
        <v>30</v>
      </c>
      <c r="F410" t="n">
        <v>80</v>
      </c>
      <c r="G410" t="n">
        <v>0</v>
      </c>
      <c r="H410" t="n">
        <v>1</v>
      </c>
      <c r="I410" t="n">
        <v>22</v>
      </c>
      <c r="J410" t="inlineStr">
        <is>
          <t>Reorder Required</t>
        </is>
      </c>
      <c r="K410" t="n">
        <v>3</v>
      </c>
      <c r="L410" t="inlineStr">
        <is>
          <t>Restock immediately</t>
        </is>
      </c>
    </row>
    <row r="411">
      <c r="A411" t="inlineStr">
        <is>
          <t>INV00410</t>
        </is>
      </c>
      <c r="B411" t="inlineStr">
        <is>
          <t>OUT009</t>
        </is>
      </c>
      <c r="C411" t="inlineStr">
        <is>
          <t>BP010</t>
        </is>
      </c>
      <c r="D411" t="n">
        <v>137</v>
      </c>
      <c r="E411" t="n">
        <v>57</v>
      </c>
      <c r="F411" t="n">
        <v>54</v>
      </c>
      <c r="G411" t="n">
        <v>138</v>
      </c>
      <c r="H411" t="n">
        <v>2</v>
      </c>
      <c r="I411" t="n">
        <v>16</v>
      </c>
      <c r="J411" t="inlineStr">
        <is>
          <t>Healthy</t>
        </is>
      </c>
      <c r="K411" t="n">
        <v>2</v>
      </c>
    </row>
    <row r="412">
      <c r="A412" t="inlineStr">
        <is>
          <t>INV00411</t>
        </is>
      </c>
      <c r="B412" t="inlineStr">
        <is>
          <t>OUT009</t>
        </is>
      </c>
      <c r="C412" t="inlineStr">
        <is>
          <t>BP011</t>
        </is>
      </c>
      <c r="D412" t="n">
        <v>93</v>
      </c>
      <c r="E412" t="n">
        <v>92</v>
      </c>
      <c r="F412" t="n">
        <v>109</v>
      </c>
      <c r="G412" t="n">
        <v>75</v>
      </c>
      <c r="H412" t="n">
        <v>1</v>
      </c>
      <c r="I412" t="n">
        <v>29</v>
      </c>
      <c r="J412" t="inlineStr">
        <is>
          <t>Healthy</t>
        </is>
      </c>
      <c r="K412" t="n">
        <v>5</v>
      </c>
    </row>
    <row r="413">
      <c r="A413" t="inlineStr">
        <is>
          <t>INV00412</t>
        </is>
      </c>
      <c r="B413" t="inlineStr">
        <is>
          <t>OUT009</t>
        </is>
      </c>
      <c r="C413" t="inlineStr">
        <is>
          <t>BP012</t>
        </is>
      </c>
      <c r="D413" t="n">
        <v>57</v>
      </c>
      <c r="E413" t="n">
        <v>67</v>
      </c>
      <c r="F413" t="n">
        <v>116</v>
      </c>
      <c r="G413" t="n">
        <v>5</v>
      </c>
      <c r="H413" t="n">
        <v>3</v>
      </c>
      <c r="I413" t="n">
        <v>34</v>
      </c>
      <c r="J413" t="inlineStr">
        <is>
          <t>Reorder Required</t>
        </is>
      </c>
      <c r="K413" t="n">
        <v>4</v>
      </c>
      <c r="L413" t="inlineStr">
        <is>
          <t>Restock immediately</t>
        </is>
      </c>
    </row>
    <row r="414">
      <c r="A414" t="inlineStr">
        <is>
          <t>INV00413</t>
        </is>
      </c>
      <c r="B414" t="inlineStr">
        <is>
          <t>OUT009</t>
        </is>
      </c>
      <c r="C414" t="inlineStr">
        <is>
          <t>BP013</t>
        </is>
      </c>
      <c r="D414" t="n">
        <v>106</v>
      </c>
      <c r="E414" t="n">
        <v>56</v>
      </c>
      <c r="F414" t="n">
        <v>113</v>
      </c>
      <c r="G414" t="n">
        <v>47</v>
      </c>
      <c r="H414" t="n">
        <v>2</v>
      </c>
      <c r="I414" t="n">
        <v>39</v>
      </c>
      <c r="J414" t="inlineStr">
        <is>
          <t>Healthy</t>
        </is>
      </c>
      <c r="K414" t="n">
        <v>2</v>
      </c>
    </row>
    <row r="415">
      <c r="A415" t="inlineStr">
        <is>
          <t>INV00414</t>
        </is>
      </c>
      <c r="B415" t="inlineStr">
        <is>
          <t>OUT009</t>
        </is>
      </c>
      <c r="C415" t="inlineStr">
        <is>
          <t>BP014</t>
        </is>
      </c>
      <c r="D415" t="n">
        <v>109</v>
      </c>
      <c r="E415" t="n">
        <v>46</v>
      </c>
      <c r="F415" t="n">
        <v>117</v>
      </c>
      <c r="G415" t="n">
        <v>38</v>
      </c>
      <c r="H415" t="n">
        <v>0</v>
      </c>
      <c r="I415" t="n">
        <v>24</v>
      </c>
      <c r="J415" t="inlineStr">
        <is>
          <t>Healthy</t>
        </is>
      </c>
      <c r="K415" t="n">
        <v>2</v>
      </c>
    </row>
    <row r="416">
      <c r="A416" t="inlineStr">
        <is>
          <t>INV00415</t>
        </is>
      </c>
      <c r="B416" t="inlineStr">
        <is>
          <t>OUT009</t>
        </is>
      </c>
      <c r="C416" t="inlineStr">
        <is>
          <t>BP015</t>
        </is>
      </c>
      <c r="D416" t="n">
        <v>113</v>
      </c>
      <c r="E416" t="n">
        <v>92</v>
      </c>
      <c r="F416" t="n">
        <v>46</v>
      </c>
      <c r="G416" t="n">
        <v>156</v>
      </c>
      <c r="H416" t="n">
        <v>3</v>
      </c>
      <c r="I416" t="n">
        <v>37</v>
      </c>
      <c r="J416" t="inlineStr">
        <is>
          <t>Healthy</t>
        </is>
      </c>
      <c r="K416" t="n">
        <v>3</v>
      </c>
    </row>
    <row r="417">
      <c r="A417" t="inlineStr">
        <is>
          <t>INV00416</t>
        </is>
      </c>
      <c r="B417" t="inlineStr">
        <is>
          <t>OUT009</t>
        </is>
      </c>
      <c r="C417" t="inlineStr">
        <is>
          <t>BP016</t>
        </is>
      </c>
      <c r="D417" t="n">
        <v>123</v>
      </c>
      <c r="E417" t="n">
        <v>55</v>
      </c>
      <c r="F417" t="n">
        <v>112</v>
      </c>
      <c r="G417" t="n">
        <v>66</v>
      </c>
      <c r="H417" t="n">
        <v>0</v>
      </c>
      <c r="I417" t="n">
        <v>26</v>
      </c>
      <c r="J417" t="inlineStr">
        <is>
          <t>Healthy</t>
        </is>
      </c>
      <c r="K417" t="n">
        <v>4</v>
      </c>
    </row>
    <row r="418">
      <c r="A418" t="inlineStr">
        <is>
          <t>INV00417</t>
        </is>
      </c>
      <c r="B418" t="inlineStr">
        <is>
          <t>OUT009</t>
        </is>
      </c>
      <c r="C418" t="inlineStr">
        <is>
          <t>BP017</t>
        </is>
      </c>
      <c r="D418" t="n">
        <v>101</v>
      </c>
      <c r="E418" t="n">
        <v>97</v>
      </c>
      <c r="F418" t="n">
        <v>43</v>
      </c>
      <c r="G418" t="n">
        <v>152</v>
      </c>
      <c r="H418" t="n">
        <v>3</v>
      </c>
      <c r="I418" t="n">
        <v>15</v>
      </c>
      <c r="J418" t="inlineStr">
        <is>
          <t>Healthy</t>
        </is>
      </c>
      <c r="K418" t="n">
        <v>3</v>
      </c>
    </row>
    <row r="419">
      <c r="A419" t="inlineStr">
        <is>
          <t>INV00418</t>
        </is>
      </c>
      <c r="B419" t="inlineStr">
        <is>
          <t>OUT009</t>
        </is>
      </c>
      <c r="C419" t="inlineStr">
        <is>
          <t>BP018</t>
        </is>
      </c>
      <c r="D419" t="n">
        <v>81</v>
      </c>
      <c r="E419" t="n">
        <v>66</v>
      </c>
      <c r="F419" t="n">
        <v>103</v>
      </c>
      <c r="G419" t="n">
        <v>42</v>
      </c>
      <c r="H419" t="n">
        <v>2</v>
      </c>
      <c r="I419" t="n">
        <v>30</v>
      </c>
      <c r="J419" t="inlineStr">
        <is>
          <t>Healthy</t>
        </is>
      </c>
      <c r="K419" t="n">
        <v>4</v>
      </c>
    </row>
    <row r="420">
      <c r="A420" t="inlineStr">
        <is>
          <t>INV00419</t>
        </is>
      </c>
      <c r="B420" t="inlineStr">
        <is>
          <t>OUT009</t>
        </is>
      </c>
      <c r="C420" t="inlineStr">
        <is>
          <t>BP019</t>
        </is>
      </c>
      <c r="D420" t="n">
        <v>142</v>
      </c>
      <c r="E420" t="n">
        <v>34</v>
      </c>
      <c r="F420" t="n">
        <v>106</v>
      </c>
      <c r="G420" t="n">
        <v>67</v>
      </c>
      <c r="H420" t="n">
        <v>3</v>
      </c>
      <c r="I420" t="n">
        <v>30</v>
      </c>
      <c r="J420" t="inlineStr">
        <is>
          <t>Healthy</t>
        </is>
      </c>
      <c r="K420" t="n">
        <v>3</v>
      </c>
    </row>
    <row r="421">
      <c r="A421" t="inlineStr">
        <is>
          <t>INV00420</t>
        </is>
      </c>
      <c r="B421" t="inlineStr">
        <is>
          <t>OUT009</t>
        </is>
      </c>
      <c r="C421" t="inlineStr">
        <is>
          <t>BP020</t>
        </is>
      </c>
      <c r="D421" t="n">
        <v>109</v>
      </c>
      <c r="E421" t="n">
        <v>96</v>
      </c>
      <c r="F421" t="n">
        <v>44</v>
      </c>
      <c r="G421" t="n">
        <v>160</v>
      </c>
      <c r="H421" t="n">
        <v>1</v>
      </c>
      <c r="I421" t="n">
        <v>20</v>
      </c>
      <c r="J421" t="inlineStr">
        <is>
          <t>Healthy</t>
        </is>
      </c>
      <c r="K421" t="n">
        <v>1</v>
      </c>
    </row>
    <row r="422">
      <c r="A422" t="inlineStr">
        <is>
          <t>INV00421</t>
        </is>
      </c>
      <c r="B422" t="inlineStr">
        <is>
          <t>OUT009</t>
        </is>
      </c>
      <c r="C422" t="inlineStr">
        <is>
          <t>BP021</t>
        </is>
      </c>
      <c r="D422" t="n">
        <v>131</v>
      </c>
      <c r="E422" t="n">
        <v>58</v>
      </c>
      <c r="F422" t="n">
        <v>139</v>
      </c>
      <c r="G422" t="n">
        <v>50</v>
      </c>
      <c r="H422" t="n">
        <v>0</v>
      </c>
      <c r="I422" t="n">
        <v>33</v>
      </c>
      <c r="J422" t="inlineStr">
        <is>
          <t>Healthy</t>
        </is>
      </c>
      <c r="K422" t="n">
        <v>1</v>
      </c>
    </row>
    <row r="423">
      <c r="A423" t="inlineStr">
        <is>
          <t>INV00422</t>
        </is>
      </c>
      <c r="B423" t="inlineStr">
        <is>
          <t>OUT009</t>
        </is>
      </c>
      <c r="C423" t="inlineStr">
        <is>
          <t>BP022</t>
        </is>
      </c>
      <c r="D423" t="n">
        <v>109</v>
      </c>
      <c r="E423" t="n">
        <v>41</v>
      </c>
      <c r="F423" t="n">
        <v>135</v>
      </c>
      <c r="G423" t="n">
        <v>12</v>
      </c>
      <c r="H423" t="n">
        <v>3</v>
      </c>
      <c r="I423" t="n">
        <v>33</v>
      </c>
      <c r="J423" t="inlineStr">
        <is>
          <t>Reorder Required</t>
        </is>
      </c>
      <c r="K423" t="n">
        <v>5</v>
      </c>
      <c r="L423" t="inlineStr">
        <is>
          <t>Restock immediately</t>
        </is>
      </c>
    </row>
    <row r="424">
      <c r="A424" t="inlineStr">
        <is>
          <t>INV00423</t>
        </is>
      </c>
      <c r="B424" t="inlineStr">
        <is>
          <t>OUT009</t>
        </is>
      </c>
      <c r="C424" t="inlineStr">
        <is>
          <t>BP023</t>
        </is>
      </c>
      <c r="D424" t="n">
        <v>62</v>
      </c>
      <c r="E424" t="n">
        <v>71</v>
      </c>
      <c r="F424" t="n">
        <v>49</v>
      </c>
      <c r="G424" t="n">
        <v>81</v>
      </c>
      <c r="H424" t="n">
        <v>3</v>
      </c>
      <c r="I424" t="n">
        <v>33</v>
      </c>
      <c r="J424" t="inlineStr">
        <is>
          <t>Healthy</t>
        </is>
      </c>
      <c r="K424" t="n">
        <v>2</v>
      </c>
    </row>
    <row r="425">
      <c r="A425" t="inlineStr">
        <is>
          <t>INV00424</t>
        </is>
      </c>
      <c r="B425" t="inlineStr">
        <is>
          <t>OUT009</t>
        </is>
      </c>
      <c r="C425" t="inlineStr">
        <is>
          <t>BP024</t>
        </is>
      </c>
      <c r="D425" t="n">
        <v>138</v>
      </c>
      <c r="E425" t="n">
        <v>67</v>
      </c>
      <c r="F425" t="n">
        <v>101</v>
      </c>
      <c r="G425" t="n">
        <v>103</v>
      </c>
      <c r="H425" t="n">
        <v>1</v>
      </c>
      <c r="I425" t="n">
        <v>35</v>
      </c>
      <c r="J425" t="inlineStr">
        <is>
          <t>Healthy</t>
        </is>
      </c>
      <c r="K425" t="n">
        <v>2</v>
      </c>
    </row>
    <row r="426">
      <c r="A426" t="inlineStr">
        <is>
          <t>INV00425</t>
        </is>
      </c>
      <c r="B426" t="inlineStr">
        <is>
          <t>OUT009</t>
        </is>
      </c>
      <c r="C426" t="inlineStr">
        <is>
          <t>BP025</t>
        </is>
      </c>
      <c r="D426" t="n">
        <v>72</v>
      </c>
      <c r="E426" t="n">
        <v>100</v>
      </c>
      <c r="F426" t="n">
        <v>55</v>
      </c>
      <c r="G426" t="n">
        <v>115</v>
      </c>
      <c r="H426" t="n">
        <v>2</v>
      </c>
      <c r="I426" t="n">
        <v>26</v>
      </c>
      <c r="J426" t="inlineStr">
        <is>
          <t>Healthy</t>
        </is>
      </c>
      <c r="K426" t="n">
        <v>1</v>
      </c>
    </row>
    <row r="427">
      <c r="A427" t="inlineStr">
        <is>
          <t>INV00426</t>
        </is>
      </c>
      <c r="B427" t="inlineStr">
        <is>
          <t>OUT009</t>
        </is>
      </c>
      <c r="C427" t="inlineStr">
        <is>
          <t>BP026</t>
        </is>
      </c>
      <c r="D427" t="n">
        <v>146</v>
      </c>
      <c r="E427" t="n">
        <v>64</v>
      </c>
      <c r="F427" t="n">
        <v>134</v>
      </c>
      <c r="G427" t="n">
        <v>76</v>
      </c>
      <c r="H427" t="n">
        <v>0</v>
      </c>
      <c r="I427" t="n">
        <v>17</v>
      </c>
      <c r="J427" t="inlineStr">
        <is>
          <t>Healthy</t>
        </is>
      </c>
      <c r="K427" t="n">
        <v>4</v>
      </c>
    </row>
    <row r="428">
      <c r="A428" t="inlineStr">
        <is>
          <t>INV00427</t>
        </is>
      </c>
      <c r="B428" t="inlineStr">
        <is>
          <t>OUT009</t>
        </is>
      </c>
      <c r="C428" t="inlineStr">
        <is>
          <t>BP027</t>
        </is>
      </c>
      <c r="D428" t="n">
        <v>44</v>
      </c>
      <c r="E428" t="n">
        <v>36</v>
      </c>
      <c r="F428" t="n">
        <v>129</v>
      </c>
      <c r="G428" t="n">
        <v>0</v>
      </c>
      <c r="H428" t="n">
        <v>1</v>
      </c>
      <c r="I428" t="n">
        <v>37</v>
      </c>
      <c r="J428" t="inlineStr">
        <is>
          <t>Reorder Required</t>
        </is>
      </c>
      <c r="K428" t="n">
        <v>4</v>
      </c>
      <c r="L428" t="inlineStr">
        <is>
          <t>Restock immediately</t>
        </is>
      </c>
    </row>
    <row r="429">
      <c r="A429" t="inlineStr">
        <is>
          <t>INV00428</t>
        </is>
      </c>
      <c r="B429" t="inlineStr">
        <is>
          <t>OUT009</t>
        </is>
      </c>
      <c r="C429" t="inlineStr">
        <is>
          <t>BP028</t>
        </is>
      </c>
      <c r="D429" t="n">
        <v>135</v>
      </c>
      <c r="E429" t="n">
        <v>40</v>
      </c>
      <c r="F429" t="n">
        <v>40</v>
      </c>
      <c r="G429" t="n">
        <v>134</v>
      </c>
      <c r="H429" t="n">
        <v>1</v>
      </c>
      <c r="I429" t="n">
        <v>21</v>
      </c>
      <c r="J429" t="inlineStr">
        <is>
          <t>Healthy</t>
        </is>
      </c>
      <c r="K429" t="n">
        <v>1</v>
      </c>
    </row>
    <row r="430">
      <c r="A430" t="inlineStr">
        <is>
          <t>INV00429</t>
        </is>
      </c>
      <c r="B430" t="inlineStr">
        <is>
          <t>OUT009</t>
        </is>
      </c>
      <c r="C430" t="inlineStr">
        <is>
          <t>BP029</t>
        </is>
      </c>
      <c r="D430" t="n">
        <v>82</v>
      </c>
      <c r="E430" t="n">
        <v>87</v>
      </c>
      <c r="F430" t="n">
        <v>36</v>
      </c>
      <c r="G430" t="n">
        <v>130</v>
      </c>
      <c r="H430" t="n">
        <v>3</v>
      </c>
      <c r="I430" t="n">
        <v>40</v>
      </c>
      <c r="J430" t="inlineStr">
        <is>
          <t>Healthy</t>
        </is>
      </c>
      <c r="K430" t="n">
        <v>1</v>
      </c>
    </row>
    <row r="431">
      <c r="A431" t="inlineStr">
        <is>
          <t>INV00430</t>
        </is>
      </c>
      <c r="B431" t="inlineStr">
        <is>
          <t>OUT009</t>
        </is>
      </c>
      <c r="C431" t="inlineStr">
        <is>
          <t>BP030</t>
        </is>
      </c>
      <c r="D431" t="n">
        <v>117</v>
      </c>
      <c r="E431" t="n">
        <v>49</v>
      </c>
      <c r="F431" t="n">
        <v>92</v>
      </c>
      <c r="G431" t="n">
        <v>66</v>
      </c>
      <c r="H431" t="n">
        <v>8</v>
      </c>
      <c r="I431" t="n">
        <v>28</v>
      </c>
      <c r="J431" t="inlineStr">
        <is>
          <t>Healthy</t>
        </is>
      </c>
      <c r="K431" t="n">
        <v>5</v>
      </c>
    </row>
    <row r="432">
      <c r="A432" t="inlineStr">
        <is>
          <t>INV00431</t>
        </is>
      </c>
      <c r="B432" t="inlineStr">
        <is>
          <t>OUT009</t>
        </is>
      </c>
      <c r="C432" t="inlineStr">
        <is>
          <t>BP031</t>
        </is>
      </c>
      <c r="D432" t="n">
        <v>123</v>
      </c>
      <c r="E432" t="n">
        <v>45</v>
      </c>
      <c r="F432" t="n">
        <v>63</v>
      </c>
      <c r="G432" t="n">
        <v>99</v>
      </c>
      <c r="H432" t="n">
        <v>6</v>
      </c>
      <c r="I432" t="n">
        <v>38</v>
      </c>
      <c r="J432" t="inlineStr">
        <is>
          <t>Healthy</t>
        </is>
      </c>
      <c r="K432" t="n">
        <v>5</v>
      </c>
    </row>
    <row r="433">
      <c r="A433" t="inlineStr">
        <is>
          <t>INV00432</t>
        </is>
      </c>
      <c r="B433" t="inlineStr">
        <is>
          <t>OUT009</t>
        </is>
      </c>
      <c r="C433" t="inlineStr">
        <is>
          <t>BP032</t>
        </is>
      </c>
      <c r="D433" t="n">
        <v>120</v>
      </c>
      <c r="E433" t="n">
        <v>51</v>
      </c>
      <c r="F433" t="n">
        <v>72</v>
      </c>
      <c r="G433" t="n">
        <v>92</v>
      </c>
      <c r="H433" t="n">
        <v>7</v>
      </c>
      <c r="I433" t="n">
        <v>40</v>
      </c>
      <c r="J433" t="inlineStr">
        <is>
          <t>Healthy</t>
        </is>
      </c>
      <c r="K433" t="n">
        <v>2</v>
      </c>
    </row>
    <row r="434">
      <c r="A434" t="inlineStr">
        <is>
          <t>INV00433</t>
        </is>
      </c>
      <c r="B434" t="inlineStr">
        <is>
          <t>OUT009</t>
        </is>
      </c>
      <c r="C434" t="inlineStr">
        <is>
          <t>BP033</t>
        </is>
      </c>
      <c r="D434" t="n">
        <v>42</v>
      </c>
      <c r="E434" t="n">
        <v>82</v>
      </c>
      <c r="F434" t="n">
        <v>126</v>
      </c>
      <c r="G434" t="n">
        <v>0</v>
      </c>
      <c r="H434" t="n">
        <v>3</v>
      </c>
      <c r="I434" t="n">
        <v>29</v>
      </c>
      <c r="J434" t="inlineStr">
        <is>
          <t>Reorder Required</t>
        </is>
      </c>
      <c r="K434" t="n">
        <v>1</v>
      </c>
      <c r="L434" t="inlineStr">
        <is>
          <t>Restock immediately</t>
        </is>
      </c>
    </row>
    <row r="435">
      <c r="A435" t="inlineStr">
        <is>
          <t>INV00434</t>
        </is>
      </c>
      <c r="B435" t="inlineStr">
        <is>
          <t>OUT009</t>
        </is>
      </c>
      <c r="C435" t="inlineStr">
        <is>
          <t>BP034</t>
        </is>
      </c>
      <c r="D435" t="n">
        <v>74</v>
      </c>
      <c r="E435" t="n">
        <v>58</v>
      </c>
      <c r="F435" t="n">
        <v>54</v>
      </c>
      <c r="G435" t="n">
        <v>70</v>
      </c>
      <c r="H435" t="n">
        <v>8</v>
      </c>
      <c r="I435" t="n">
        <v>37</v>
      </c>
      <c r="J435" t="inlineStr">
        <is>
          <t>Healthy</t>
        </is>
      </c>
      <c r="K435" t="n">
        <v>3</v>
      </c>
    </row>
    <row r="436">
      <c r="A436" t="inlineStr">
        <is>
          <t>INV00435</t>
        </is>
      </c>
      <c r="B436" t="inlineStr">
        <is>
          <t>OUT009</t>
        </is>
      </c>
      <c r="C436" t="inlineStr">
        <is>
          <t>BP035</t>
        </is>
      </c>
      <c r="D436" t="n">
        <v>68</v>
      </c>
      <c r="E436" t="n">
        <v>58</v>
      </c>
      <c r="F436" t="n">
        <v>118</v>
      </c>
      <c r="G436" t="n">
        <v>5</v>
      </c>
      <c r="H436" t="n">
        <v>3</v>
      </c>
      <c r="I436" t="n">
        <v>26</v>
      </c>
      <c r="J436" t="inlineStr">
        <is>
          <t>Reorder Required</t>
        </is>
      </c>
      <c r="K436" t="n">
        <v>1</v>
      </c>
      <c r="L436" t="inlineStr">
        <is>
          <t>Restock immediately</t>
        </is>
      </c>
    </row>
    <row r="437">
      <c r="A437" t="inlineStr">
        <is>
          <t>INV00436</t>
        </is>
      </c>
      <c r="B437" t="inlineStr">
        <is>
          <t>OUT009</t>
        </is>
      </c>
      <c r="C437" t="inlineStr">
        <is>
          <t>BP036</t>
        </is>
      </c>
      <c r="D437" t="n">
        <v>99</v>
      </c>
      <c r="E437" t="n">
        <v>45</v>
      </c>
      <c r="F437" t="n">
        <v>73</v>
      </c>
      <c r="G437" t="n">
        <v>67</v>
      </c>
      <c r="H437" t="n">
        <v>4</v>
      </c>
      <c r="I437" t="n">
        <v>22</v>
      </c>
      <c r="J437" t="inlineStr">
        <is>
          <t>Healthy</t>
        </is>
      </c>
      <c r="K437" t="n">
        <v>4</v>
      </c>
    </row>
    <row r="438">
      <c r="A438" t="inlineStr">
        <is>
          <t>INV00437</t>
        </is>
      </c>
      <c r="B438" t="inlineStr">
        <is>
          <t>OUT009</t>
        </is>
      </c>
      <c r="C438" t="inlineStr">
        <is>
          <t>BP037</t>
        </is>
      </c>
      <c r="D438" t="n">
        <v>44</v>
      </c>
      <c r="E438" t="n">
        <v>65</v>
      </c>
      <c r="F438" t="n">
        <v>53</v>
      </c>
      <c r="G438" t="n">
        <v>51</v>
      </c>
      <c r="H438" t="n">
        <v>5</v>
      </c>
      <c r="I438" t="n">
        <v>29</v>
      </c>
      <c r="J438" t="inlineStr">
        <is>
          <t>Healthy</t>
        </is>
      </c>
      <c r="K438" t="n">
        <v>4</v>
      </c>
    </row>
    <row r="439">
      <c r="A439" t="inlineStr">
        <is>
          <t>INV00438</t>
        </is>
      </c>
      <c r="B439" t="inlineStr">
        <is>
          <t>OUT009</t>
        </is>
      </c>
      <c r="C439" t="inlineStr">
        <is>
          <t>BP038</t>
        </is>
      </c>
      <c r="D439" t="n">
        <v>57</v>
      </c>
      <c r="E439" t="n">
        <v>71</v>
      </c>
      <c r="F439" t="n">
        <v>84</v>
      </c>
      <c r="G439" t="n">
        <v>41</v>
      </c>
      <c r="H439" t="n">
        <v>3</v>
      </c>
      <c r="I439" t="n">
        <v>26</v>
      </c>
      <c r="J439" t="inlineStr">
        <is>
          <t>Healthy</t>
        </is>
      </c>
      <c r="K439" t="n">
        <v>5</v>
      </c>
    </row>
    <row r="440">
      <c r="A440" t="inlineStr">
        <is>
          <t>INV00439</t>
        </is>
      </c>
      <c r="B440" t="inlineStr">
        <is>
          <t>OUT009</t>
        </is>
      </c>
      <c r="C440" t="inlineStr">
        <is>
          <t>BP039</t>
        </is>
      </c>
      <c r="D440" t="n">
        <v>90</v>
      </c>
      <c r="E440" t="n">
        <v>52</v>
      </c>
      <c r="F440" t="n">
        <v>36</v>
      </c>
      <c r="G440" t="n">
        <v>100</v>
      </c>
      <c r="H440" t="n">
        <v>6</v>
      </c>
      <c r="I440" t="n">
        <v>29</v>
      </c>
      <c r="J440" t="inlineStr">
        <is>
          <t>Healthy</t>
        </is>
      </c>
      <c r="K440" t="n">
        <v>2</v>
      </c>
    </row>
    <row r="441">
      <c r="A441" t="inlineStr">
        <is>
          <t>INV00440</t>
        </is>
      </c>
      <c r="B441" t="inlineStr">
        <is>
          <t>OUT009</t>
        </is>
      </c>
      <c r="C441" t="inlineStr">
        <is>
          <t>BP040</t>
        </is>
      </c>
      <c r="D441" t="n">
        <v>99</v>
      </c>
      <c r="E441" t="n">
        <v>49</v>
      </c>
      <c r="F441" t="n">
        <v>140</v>
      </c>
      <c r="G441" t="n">
        <v>4</v>
      </c>
      <c r="H441" t="n">
        <v>4</v>
      </c>
      <c r="I441" t="n">
        <v>27</v>
      </c>
      <c r="J441" t="inlineStr">
        <is>
          <t>Reorder Required</t>
        </is>
      </c>
      <c r="K441" t="n">
        <v>4</v>
      </c>
      <c r="L441" t="inlineStr">
        <is>
          <t>Restock immediately</t>
        </is>
      </c>
    </row>
    <row r="442">
      <c r="A442" t="inlineStr">
        <is>
          <t>INV00441</t>
        </is>
      </c>
      <c r="B442" t="inlineStr">
        <is>
          <t>OUT009</t>
        </is>
      </c>
      <c r="C442" t="inlineStr">
        <is>
          <t>BP041</t>
        </is>
      </c>
      <c r="D442" t="n">
        <v>55</v>
      </c>
      <c r="E442" t="n">
        <v>41</v>
      </c>
      <c r="F442" t="n">
        <v>41</v>
      </c>
      <c r="G442" t="n">
        <v>54</v>
      </c>
      <c r="H442" t="n">
        <v>1</v>
      </c>
      <c r="I442" t="n">
        <v>27</v>
      </c>
      <c r="J442" t="inlineStr">
        <is>
          <t>Healthy</t>
        </is>
      </c>
      <c r="K442" t="n">
        <v>3</v>
      </c>
    </row>
    <row r="443">
      <c r="A443" t="inlineStr">
        <is>
          <t>INV00442</t>
        </is>
      </c>
      <c r="B443" t="inlineStr">
        <is>
          <t>OUT009</t>
        </is>
      </c>
      <c r="C443" t="inlineStr">
        <is>
          <t>BP042</t>
        </is>
      </c>
      <c r="D443" t="n">
        <v>70</v>
      </c>
      <c r="E443" t="n">
        <v>35</v>
      </c>
      <c r="F443" t="n">
        <v>130</v>
      </c>
      <c r="G443" t="n">
        <v>0</v>
      </c>
      <c r="H443" t="n">
        <v>1</v>
      </c>
      <c r="I443" t="n">
        <v>26</v>
      </c>
      <c r="J443" t="inlineStr">
        <is>
          <t>Reorder Required</t>
        </is>
      </c>
      <c r="K443" t="n">
        <v>3</v>
      </c>
      <c r="L443" t="inlineStr">
        <is>
          <t>Restock immediately</t>
        </is>
      </c>
    </row>
    <row r="444">
      <c r="A444" t="inlineStr">
        <is>
          <t>INV00443</t>
        </is>
      </c>
      <c r="B444" t="inlineStr">
        <is>
          <t>OUT009</t>
        </is>
      </c>
      <c r="C444" t="inlineStr">
        <is>
          <t>BP043</t>
        </is>
      </c>
      <c r="D444" t="n">
        <v>111</v>
      </c>
      <c r="E444" t="n">
        <v>41</v>
      </c>
      <c r="F444" t="n">
        <v>128</v>
      </c>
      <c r="G444" t="n">
        <v>21</v>
      </c>
      <c r="H444" t="n">
        <v>3</v>
      </c>
      <c r="I444" t="n">
        <v>37</v>
      </c>
      <c r="J444" t="inlineStr">
        <is>
          <t>Reorder Required</t>
        </is>
      </c>
      <c r="K444" t="n">
        <v>4</v>
      </c>
      <c r="L444" t="inlineStr">
        <is>
          <t>Restock immediately</t>
        </is>
      </c>
    </row>
    <row r="445">
      <c r="A445" t="inlineStr">
        <is>
          <t>INV00444</t>
        </is>
      </c>
      <c r="B445" t="inlineStr">
        <is>
          <t>OUT009</t>
        </is>
      </c>
      <c r="C445" t="inlineStr">
        <is>
          <t>BP044</t>
        </is>
      </c>
      <c r="D445" t="n">
        <v>66</v>
      </c>
      <c r="E445" t="n">
        <v>56</v>
      </c>
      <c r="F445" t="n">
        <v>33</v>
      </c>
      <c r="G445" t="n">
        <v>86</v>
      </c>
      <c r="H445" t="n">
        <v>3</v>
      </c>
      <c r="I445" t="n">
        <v>18</v>
      </c>
      <c r="J445" t="inlineStr">
        <is>
          <t>Healthy</t>
        </is>
      </c>
      <c r="K445" t="n">
        <v>2</v>
      </c>
    </row>
    <row r="446">
      <c r="A446" t="inlineStr">
        <is>
          <t>INV00445</t>
        </is>
      </c>
      <c r="B446" t="inlineStr">
        <is>
          <t>OUT009</t>
        </is>
      </c>
      <c r="C446" t="inlineStr">
        <is>
          <t>BP045</t>
        </is>
      </c>
      <c r="D446" t="n">
        <v>98</v>
      </c>
      <c r="E446" t="n">
        <v>59</v>
      </c>
      <c r="F446" t="n">
        <v>132</v>
      </c>
      <c r="G446" t="n">
        <v>24</v>
      </c>
      <c r="H446" t="n">
        <v>1</v>
      </c>
      <c r="I446" t="n">
        <v>33</v>
      </c>
      <c r="J446" t="inlineStr">
        <is>
          <t>Reorder Required</t>
        </is>
      </c>
      <c r="K446" t="n">
        <v>2</v>
      </c>
      <c r="L446" t="inlineStr">
        <is>
          <t>Restock immediately</t>
        </is>
      </c>
    </row>
    <row r="447">
      <c r="A447" t="inlineStr">
        <is>
          <t>INV00446</t>
        </is>
      </c>
      <c r="B447" t="inlineStr">
        <is>
          <t>OUT009</t>
        </is>
      </c>
      <c r="C447" t="inlineStr">
        <is>
          <t>BP046</t>
        </is>
      </c>
      <c r="D447" t="n">
        <v>53</v>
      </c>
      <c r="E447" t="n">
        <v>65</v>
      </c>
      <c r="F447" t="n">
        <v>83</v>
      </c>
      <c r="G447" t="n">
        <v>32</v>
      </c>
      <c r="H447" t="n">
        <v>3</v>
      </c>
      <c r="I447" t="n">
        <v>33</v>
      </c>
      <c r="J447" t="inlineStr">
        <is>
          <t>Reorder Required</t>
        </is>
      </c>
      <c r="K447" t="n">
        <v>3</v>
      </c>
      <c r="L447" t="inlineStr">
        <is>
          <t>Restock immediately</t>
        </is>
      </c>
    </row>
    <row r="448">
      <c r="A448" t="inlineStr">
        <is>
          <t>INV00447</t>
        </is>
      </c>
      <c r="B448" t="inlineStr">
        <is>
          <t>OUT009</t>
        </is>
      </c>
      <c r="C448" t="inlineStr">
        <is>
          <t>BP047</t>
        </is>
      </c>
      <c r="D448" t="n">
        <v>130</v>
      </c>
      <c r="E448" t="n">
        <v>88</v>
      </c>
      <c r="F448" t="n">
        <v>120</v>
      </c>
      <c r="G448" t="n">
        <v>96</v>
      </c>
      <c r="H448" t="n">
        <v>2</v>
      </c>
      <c r="I448" t="n">
        <v>37</v>
      </c>
      <c r="J448" t="inlineStr">
        <is>
          <t>Healthy</t>
        </is>
      </c>
      <c r="K448" t="n">
        <v>2</v>
      </c>
    </row>
    <row r="449">
      <c r="A449" t="inlineStr">
        <is>
          <t>INV00448</t>
        </is>
      </c>
      <c r="B449" t="inlineStr">
        <is>
          <t>OUT009</t>
        </is>
      </c>
      <c r="C449" t="inlineStr">
        <is>
          <t>BP048</t>
        </is>
      </c>
      <c r="D449" t="n">
        <v>66</v>
      </c>
      <c r="E449" t="n">
        <v>33</v>
      </c>
      <c r="F449" t="n">
        <v>51</v>
      </c>
      <c r="G449" t="n">
        <v>48</v>
      </c>
      <c r="H449" t="n">
        <v>0</v>
      </c>
      <c r="I449" t="n">
        <v>23</v>
      </c>
      <c r="J449" t="inlineStr">
        <is>
          <t>Healthy</t>
        </is>
      </c>
      <c r="K449" t="n">
        <v>5</v>
      </c>
    </row>
    <row r="450">
      <c r="A450" t="inlineStr">
        <is>
          <t>INV00449</t>
        </is>
      </c>
      <c r="B450" t="inlineStr">
        <is>
          <t>OUT009</t>
        </is>
      </c>
      <c r="C450" t="inlineStr">
        <is>
          <t>BP049</t>
        </is>
      </c>
      <c r="D450" t="n">
        <v>73</v>
      </c>
      <c r="E450" t="n">
        <v>48</v>
      </c>
      <c r="F450" t="n">
        <v>139</v>
      </c>
      <c r="G450" t="n">
        <v>0</v>
      </c>
      <c r="H450" t="n">
        <v>1</v>
      </c>
      <c r="I450" t="n">
        <v>19</v>
      </c>
      <c r="J450" t="inlineStr">
        <is>
          <t>Reorder Required</t>
        </is>
      </c>
      <c r="K450" t="n">
        <v>4</v>
      </c>
      <c r="L450" t="inlineStr">
        <is>
          <t>Restock immediately</t>
        </is>
      </c>
    </row>
    <row r="451">
      <c r="A451" t="inlineStr">
        <is>
          <t>INV00450</t>
        </is>
      </c>
      <c r="B451" t="inlineStr">
        <is>
          <t>OUT009</t>
        </is>
      </c>
      <c r="C451" t="inlineStr">
        <is>
          <t>BP050</t>
        </is>
      </c>
      <c r="D451" t="n">
        <v>148</v>
      </c>
      <c r="E451" t="n">
        <v>68</v>
      </c>
      <c r="F451" t="n">
        <v>48</v>
      </c>
      <c r="G451" t="n">
        <v>165</v>
      </c>
      <c r="H451" t="n">
        <v>3</v>
      </c>
      <c r="I451" t="n">
        <v>24</v>
      </c>
      <c r="J451" t="inlineStr">
        <is>
          <t>Healthy</t>
        </is>
      </c>
      <c r="K451" t="n">
        <v>5</v>
      </c>
    </row>
    <row r="452">
      <c r="A452" t="inlineStr">
        <is>
          <t>INV00451</t>
        </is>
      </c>
      <c r="B452" t="inlineStr">
        <is>
          <t>OUT010</t>
        </is>
      </c>
      <c r="C452" t="inlineStr">
        <is>
          <t>BP001</t>
        </is>
      </c>
      <c r="D452" t="n">
        <v>118</v>
      </c>
      <c r="E452" t="n">
        <v>45</v>
      </c>
      <c r="F452" t="n">
        <v>81</v>
      </c>
      <c r="G452" t="n">
        <v>80</v>
      </c>
      <c r="H452" t="n">
        <v>2</v>
      </c>
      <c r="I452" t="n">
        <v>35</v>
      </c>
      <c r="J452" t="inlineStr">
        <is>
          <t>Healthy</t>
        </is>
      </c>
      <c r="K452" t="n">
        <v>5</v>
      </c>
    </row>
    <row r="453">
      <c r="A453" t="inlineStr">
        <is>
          <t>INV00452</t>
        </is>
      </c>
      <c r="B453" t="inlineStr">
        <is>
          <t>OUT010</t>
        </is>
      </c>
      <c r="C453" t="inlineStr">
        <is>
          <t>BP002</t>
        </is>
      </c>
      <c r="D453" t="n">
        <v>150</v>
      </c>
      <c r="E453" t="n">
        <v>64</v>
      </c>
      <c r="F453" t="n">
        <v>89</v>
      </c>
      <c r="G453" t="n">
        <v>124</v>
      </c>
      <c r="H453" t="n">
        <v>1</v>
      </c>
      <c r="I453" t="n">
        <v>29</v>
      </c>
      <c r="J453" t="inlineStr">
        <is>
          <t>Healthy</t>
        </is>
      </c>
      <c r="K453" t="n">
        <v>5</v>
      </c>
    </row>
    <row r="454">
      <c r="A454" t="inlineStr">
        <is>
          <t>INV00453</t>
        </is>
      </c>
      <c r="B454" t="inlineStr">
        <is>
          <t>OUT010</t>
        </is>
      </c>
      <c r="C454" t="inlineStr">
        <is>
          <t>BP003</t>
        </is>
      </c>
      <c r="D454" t="n">
        <v>78</v>
      </c>
      <c r="E454" t="n">
        <v>48</v>
      </c>
      <c r="F454" t="n">
        <v>34</v>
      </c>
      <c r="G454" t="n">
        <v>91</v>
      </c>
      <c r="H454" t="n">
        <v>1</v>
      </c>
      <c r="I454" t="n">
        <v>32</v>
      </c>
      <c r="J454" t="inlineStr">
        <is>
          <t>Healthy</t>
        </is>
      </c>
      <c r="K454" t="n">
        <v>3</v>
      </c>
    </row>
    <row r="455">
      <c r="A455" t="inlineStr">
        <is>
          <t>INV00454</t>
        </is>
      </c>
      <c r="B455" t="inlineStr">
        <is>
          <t>OUT010</t>
        </is>
      </c>
      <c r="C455" t="inlineStr">
        <is>
          <t>BP004</t>
        </is>
      </c>
      <c r="D455" t="n">
        <v>88</v>
      </c>
      <c r="E455" t="n">
        <v>33</v>
      </c>
      <c r="F455" t="n">
        <v>125</v>
      </c>
      <c r="G455" t="n">
        <v>0</v>
      </c>
      <c r="H455" t="n">
        <v>3</v>
      </c>
      <c r="I455" t="n">
        <v>27</v>
      </c>
      <c r="J455" t="inlineStr">
        <is>
          <t>Reorder Required</t>
        </is>
      </c>
      <c r="K455" t="n">
        <v>2</v>
      </c>
      <c r="L455" t="inlineStr">
        <is>
          <t>Restock immediately</t>
        </is>
      </c>
    </row>
    <row r="456">
      <c r="A456" t="inlineStr">
        <is>
          <t>INV00455</t>
        </is>
      </c>
      <c r="B456" t="inlineStr">
        <is>
          <t>OUT010</t>
        </is>
      </c>
      <c r="C456" t="inlineStr">
        <is>
          <t>BP005</t>
        </is>
      </c>
      <c r="D456" t="n">
        <v>61</v>
      </c>
      <c r="E456" t="n">
        <v>80</v>
      </c>
      <c r="F456" t="n">
        <v>100</v>
      </c>
      <c r="G456" t="n">
        <v>39</v>
      </c>
      <c r="H456" t="n">
        <v>2</v>
      </c>
      <c r="I456" t="n">
        <v>37</v>
      </c>
      <c r="J456" t="inlineStr">
        <is>
          <t>Healthy</t>
        </is>
      </c>
      <c r="K456" t="n">
        <v>5</v>
      </c>
    </row>
    <row r="457">
      <c r="A457" t="inlineStr">
        <is>
          <t>INV00456</t>
        </is>
      </c>
      <c r="B457" t="inlineStr">
        <is>
          <t>OUT010</t>
        </is>
      </c>
      <c r="C457" t="inlineStr">
        <is>
          <t>BP006</t>
        </is>
      </c>
      <c r="D457" t="n">
        <v>97</v>
      </c>
      <c r="E457" t="n">
        <v>33</v>
      </c>
      <c r="F457" t="n">
        <v>97</v>
      </c>
      <c r="G457" t="n">
        <v>33</v>
      </c>
      <c r="H457" t="n">
        <v>0</v>
      </c>
      <c r="I457" t="n">
        <v>31</v>
      </c>
      <c r="J457" t="inlineStr">
        <is>
          <t>Healthy</t>
        </is>
      </c>
      <c r="K457" t="n">
        <v>5</v>
      </c>
    </row>
    <row r="458">
      <c r="A458" t="inlineStr">
        <is>
          <t>INV00457</t>
        </is>
      </c>
      <c r="B458" t="inlineStr">
        <is>
          <t>OUT010</t>
        </is>
      </c>
      <c r="C458" t="inlineStr">
        <is>
          <t>BP007</t>
        </is>
      </c>
      <c r="D458" t="n">
        <v>81</v>
      </c>
      <c r="E458" t="n">
        <v>83</v>
      </c>
      <c r="F458" t="n">
        <v>94</v>
      </c>
      <c r="G458" t="n">
        <v>70</v>
      </c>
      <c r="H458" t="n">
        <v>0</v>
      </c>
      <c r="I458" t="n">
        <v>20</v>
      </c>
      <c r="J458" t="inlineStr">
        <is>
          <t>Healthy</t>
        </is>
      </c>
      <c r="K458" t="n">
        <v>3</v>
      </c>
    </row>
    <row r="459">
      <c r="A459" t="inlineStr">
        <is>
          <t>INV00458</t>
        </is>
      </c>
      <c r="B459" t="inlineStr">
        <is>
          <t>OUT010</t>
        </is>
      </c>
      <c r="C459" t="inlineStr">
        <is>
          <t>BP008</t>
        </is>
      </c>
      <c r="D459" t="n">
        <v>79</v>
      </c>
      <c r="E459" t="n">
        <v>21</v>
      </c>
      <c r="F459" t="n">
        <v>73</v>
      </c>
      <c r="G459" t="n">
        <v>24</v>
      </c>
      <c r="H459" t="n">
        <v>3</v>
      </c>
      <c r="I459" t="n">
        <v>27</v>
      </c>
      <c r="J459" t="inlineStr">
        <is>
          <t>Reorder Required</t>
        </is>
      </c>
      <c r="K459" t="n">
        <v>3</v>
      </c>
      <c r="L459" t="inlineStr">
        <is>
          <t>Restock immediately</t>
        </is>
      </c>
    </row>
    <row r="460">
      <c r="A460" t="inlineStr">
        <is>
          <t>INV00459</t>
        </is>
      </c>
      <c r="B460" t="inlineStr">
        <is>
          <t>OUT010</t>
        </is>
      </c>
      <c r="C460" t="inlineStr">
        <is>
          <t>BP009</t>
        </is>
      </c>
      <c r="D460" t="n">
        <v>58</v>
      </c>
      <c r="E460" t="n">
        <v>51</v>
      </c>
      <c r="F460" t="n">
        <v>132</v>
      </c>
      <c r="G460" t="n">
        <v>0</v>
      </c>
      <c r="H460" t="n">
        <v>0</v>
      </c>
      <c r="I460" t="n">
        <v>34</v>
      </c>
      <c r="J460" t="inlineStr">
        <is>
          <t>Reorder Required</t>
        </is>
      </c>
      <c r="K460" t="n">
        <v>3</v>
      </c>
      <c r="L460" t="inlineStr">
        <is>
          <t>Restock immediately</t>
        </is>
      </c>
    </row>
    <row r="461">
      <c r="A461" t="inlineStr">
        <is>
          <t>INV00460</t>
        </is>
      </c>
      <c r="B461" t="inlineStr">
        <is>
          <t>OUT010</t>
        </is>
      </c>
      <c r="C461" t="inlineStr">
        <is>
          <t>BP010</t>
        </is>
      </c>
      <c r="D461" t="n">
        <v>92</v>
      </c>
      <c r="E461" t="n">
        <v>87</v>
      </c>
      <c r="F461" t="n">
        <v>77</v>
      </c>
      <c r="G461" t="n">
        <v>100</v>
      </c>
      <c r="H461" t="n">
        <v>2</v>
      </c>
      <c r="I461" t="n">
        <v>36</v>
      </c>
      <c r="J461" t="inlineStr">
        <is>
          <t>Healthy</t>
        </is>
      </c>
      <c r="K461" t="n">
        <v>5</v>
      </c>
    </row>
    <row r="462">
      <c r="A462" t="inlineStr">
        <is>
          <t>INV00461</t>
        </is>
      </c>
      <c r="B462" t="inlineStr">
        <is>
          <t>OUT010</t>
        </is>
      </c>
      <c r="C462" t="inlineStr">
        <is>
          <t>BP011</t>
        </is>
      </c>
      <c r="D462" t="n">
        <v>97</v>
      </c>
      <c r="E462" t="n">
        <v>87</v>
      </c>
      <c r="F462" t="n">
        <v>113</v>
      </c>
      <c r="G462" t="n">
        <v>68</v>
      </c>
      <c r="H462" t="n">
        <v>3</v>
      </c>
      <c r="I462" t="n">
        <v>19</v>
      </c>
      <c r="J462" t="inlineStr">
        <is>
          <t>Healthy</t>
        </is>
      </c>
      <c r="K462" t="n">
        <v>5</v>
      </c>
    </row>
    <row r="463">
      <c r="A463" t="inlineStr">
        <is>
          <t>INV00462</t>
        </is>
      </c>
      <c r="B463" t="inlineStr">
        <is>
          <t>OUT010</t>
        </is>
      </c>
      <c r="C463" t="inlineStr">
        <is>
          <t>BP012</t>
        </is>
      </c>
      <c r="D463" t="n">
        <v>124</v>
      </c>
      <c r="E463" t="n">
        <v>87</v>
      </c>
      <c r="F463" t="n">
        <v>50</v>
      </c>
      <c r="G463" t="n">
        <v>159</v>
      </c>
      <c r="H463" t="n">
        <v>2</v>
      </c>
      <c r="I463" t="n">
        <v>16</v>
      </c>
      <c r="J463" t="inlineStr">
        <is>
          <t>Healthy</t>
        </is>
      </c>
      <c r="K463" t="n">
        <v>3</v>
      </c>
    </row>
    <row r="464">
      <c r="A464" t="inlineStr">
        <is>
          <t>INV00463</t>
        </is>
      </c>
      <c r="B464" t="inlineStr">
        <is>
          <t>OUT010</t>
        </is>
      </c>
      <c r="C464" t="inlineStr">
        <is>
          <t>BP013</t>
        </is>
      </c>
      <c r="D464" t="n">
        <v>123</v>
      </c>
      <c r="E464" t="n">
        <v>53</v>
      </c>
      <c r="F464" t="n">
        <v>73</v>
      </c>
      <c r="G464" t="n">
        <v>100</v>
      </c>
      <c r="H464" t="n">
        <v>3</v>
      </c>
      <c r="I464" t="n">
        <v>34</v>
      </c>
      <c r="J464" t="inlineStr">
        <is>
          <t>Healthy</t>
        </is>
      </c>
      <c r="K464" t="n">
        <v>4</v>
      </c>
    </row>
    <row r="465">
      <c r="A465" t="inlineStr">
        <is>
          <t>INV00464</t>
        </is>
      </c>
      <c r="B465" t="inlineStr">
        <is>
          <t>OUT010</t>
        </is>
      </c>
      <c r="C465" t="inlineStr">
        <is>
          <t>BP014</t>
        </is>
      </c>
      <c r="D465" t="n">
        <v>71</v>
      </c>
      <c r="E465" t="n">
        <v>30</v>
      </c>
      <c r="F465" t="n">
        <v>109</v>
      </c>
      <c r="G465" t="n">
        <v>0</v>
      </c>
      <c r="H465" t="n">
        <v>2</v>
      </c>
      <c r="I465" t="n">
        <v>20</v>
      </c>
      <c r="J465" t="inlineStr">
        <is>
          <t>Reorder Required</t>
        </is>
      </c>
      <c r="K465" t="n">
        <v>2</v>
      </c>
      <c r="L465" t="inlineStr">
        <is>
          <t>Restock immediately</t>
        </is>
      </c>
    </row>
    <row r="466">
      <c r="A466" t="inlineStr">
        <is>
          <t>INV00465</t>
        </is>
      </c>
      <c r="B466" t="inlineStr">
        <is>
          <t>OUT010</t>
        </is>
      </c>
      <c r="C466" t="inlineStr">
        <is>
          <t>BP015</t>
        </is>
      </c>
      <c r="D466" t="n">
        <v>54</v>
      </c>
      <c r="E466" t="n">
        <v>64</v>
      </c>
      <c r="F466" t="n">
        <v>97</v>
      </c>
      <c r="G466" t="n">
        <v>19</v>
      </c>
      <c r="H466" t="n">
        <v>2</v>
      </c>
      <c r="I466" t="n">
        <v>34</v>
      </c>
      <c r="J466" t="inlineStr">
        <is>
          <t>Reorder Required</t>
        </is>
      </c>
      <c r="K466" t="n">
        <v>2</v>
      </c>
      <c r="L466" t="inlineStr">
        <is>
          <t>Restock immediately</t>
        </is>
      </c>
    </row>
    <row r="467">
      <c r="A467" t="inlineStr">
        <is>
          <t>INV00466</t>
        </is>
      </c>
      <c r="B467" t="inlineStr">
        <is>
          <t>OUT010</t>
        </is>
      </c>
      <c r="C467" t="inlineStr">
        <is>
          <t>BP016</t>
        </is>
      </c>
      <c r="D467" t="n">
        <v>89</v>
      </c>
      <c r="E467" t="n">
        <v>24</v>
      </c>
      <c r="F467" t="n">
        <v>131</v>
      </c>
      <c r="G467" t="n">
        <v>0</v>
      </c>
      <c r="H467" t="n">
        <v>3</v>
      </c>
      <c r="I467" t="n">
        <v>24</v>
      </c>
      <c r="J467" t="inlineStr">
        <is>
          <t>Reorder Required</t>
        </is>
      </c>
      <c r="K467" t="n">
        <v>5</v>
      </c>
      <c r="L467" t="inlineStr">
        <is>
          <t>Restock immediately</t>
        </is>
      </c>
    </row>
    <row r="468">
      <c r="A468" t="inlineStr">
        <is>
          <t>INV00467</t>
        </is>
      </c>
      <c r="B468" t="inlineStr">
        <is>
          <t>OUT010</t>
        </is>
      </c>
      <c r="C468" t="inlineStr">
        <is>
          <t>BP017</t>
        </is>
      </c>
      <c r="D468" t="n">
        <v>53</v>
      </c>
      <c r="E468" t="n">
        <v>26</v>
      </c>
      <c r="F468" t="n">
        <v>36</v>
      </c>
      <c r="G468" t="n">
        <v>41</v>
      </c>
      <c r="H468" t="n">
        <v>2</v>
      </c>
      <c r="I468" t="n">
        <v>21</v>
      </c>
      <c r="J468" t="inlineStr">
        <is>
          <t>Healthy</t>
        </is>
      </c>
      <c r="K468" t="n">
        <v>3</v>
      </c>
    </row>
    <row r="469">
      <c r="A469" t="inlineStr">
        <is>
          <t>INV00468</t>
        </is>
      </c>
      <c r="B469" t="inlineStr">
        <is>
          <t>OUT010</t>
        </is>
      </c>
      <c r="C469" t="inlineStr">
        <is>
          <t>BP018</t>
        </is>
      </c>
      <c r="D469" t="n">
        <v>102</v>
      </c>
      <c r="E469" t="n">
        <v>35</v>
      </c>
      <c r="F469" t="n">
        <v>103</v>
      </c>
      <c r="G469" t="n">
        <v>31</v>
      </c>
      <c r="H469" t="n">
        <v>3</v>
      </c>
      <c r="I469" t="n">
        <v>37</v>
      </c>
      <c r="J469" t="inlineStr">
        <is>
          <t>Reorder Required</t>
        </is>
      </c>
      <c r="K469" t="n">
        <v>1</v>
      </c>
      <c r="L469" t="inlineStr">
        <is>
          <t>Restock immediately</t>
        </is>
      </c>
    </row>
    <row r="470">
      <c r="A470" t="inlineStr">
        <is>
          <t>INV00469</t>
        </is>
      </c>
      <c r="B470" t="inlineStr">
        <is>
          <t>OUT010</t>
        </is>
      </c>
      <c r="C470" t="inlineStr">
        <is>
          <t>BP019</t>
        </is>
      </c>
      <c r="D470" t="n">
        <v>147</v>
      </c>
      <c r="E470" t="n">
        <v>50</v>
      </c>
      <c r="F470" t="n">
        <v>32</v>
      </c>
      <c r="G470" t="n">
        <v>162</v>
      </c>
      <c r="H470" t="n">
        <v>3</v>
      </c>
      <c r="I470" t="n">
        <v>20</v>
      </c>
      <c r="J470" t="inlineStr">
        <is>
          <t>Healthy</t>
        </is>
      </c>
      <c r="K470" t="n">
        <v>1</v>
      </c>
    </row>
    <row r="471">
      <c r="A471" t="inlineStr">
        <is>
          <t>INV00470</t>
        </is>
      </c>
      <c r="B471" t="inlineStr">
        <is>
          <t>OUT010</t>
        </is>
      </c>
      <c r="C471" t="inlineStr">
        <is>
          <t>BP020</t>
        </is>
      </c>
      <c r="D471" t="n">
        <v>47</v>
      </c>
      <c r="E471" t="n">
        <v>34</v>
      </c>
      <c r="F471" t="n">
        <v>130</v>
      </c>
      <c r="G471" t="n">
        <v>0</v>
      </c>
      <c r="H471" t="n">
        <v>2</v>
      </c>
      <c r="I471" t="n">
        <v>37</v>
      </c>
      <c r="J471" t="inlineStr">
        <is>
          <t>Reorder Required</t>
        </is>
      </c>
      <c r="K471" t="n">
        <v>4</v>
      </c>
      <c r="L471" t="inlineStr">
        <is>
          <t>Restock immediately</t>
        </is>
      </c>
    </row>
    <row r="472">
      <c r="A472" t="inlineStr">
        <is>
          <t>INV00471</t>
        </is>
      </c>
      <c r="B472" t="inlineStr">
        <is>
          <t>OUT010</t>
        </is>
      </c>
      <c r="C472" t="inlineStr">
        <is>
          <t>BP021</t>
        </is>
      </c>
      <c r="D472" t="n">
        <v>100</v>
      </c>
      <c r="E472" t="n">
        <v>61</v>
      </c>
      <c r="F472" t="n">
        <v>109</v>
      </c>
      <c r="G472" t="n">
        <v>50</v>
      </c>
      <c r="H472" t="n">
        <v>2</v>
      </c>
      <c r="I472" t="n">
        <v>24</v>
      </c>
      <c r="J472" t="inlineStr">
        <is>
          <t>Healthy</t>
        </is>
      </c>
      <c r="K472" t="n">
        <v>3</v>
      </c>
    </row>
    <row r="473">
      <c r="A473" t="inlineStr">
        <is>
          <t>INV00472</t>
        </is>
      </c>
      <c r="B473" t="inlineStr">
        <is>
          <t>OUT010</t>
        </is>
      </c>
      <c r="C473" t="inlineStr">
        <is>
          <t>BP022</t>
        </is>
      </c>
      <c r="D473" t="n">
        <v>83</v>
      </c>
      <c r="E473" t="n">
        <v>46</v>
      </c>
      <c r="F473" t="n">
        <v>80</v>
      </c>
      <c r="G473" t="n">
        <v>46</v>
      </c>
      <c r="H473" t="n">
        <v>3</v>
      </c>
      <c r="I473" t="n">
        <v>27</v>
      </c>
      <c r="J473" t="inlineStr">
        <is>
          <t>Healthy</t>
        </is>
      </c>
      <c r="K473" t="n">
        <v>2</v>
      </c>
    </row>
    <row r="474">
      <c r="A474" t="inlineStr">
        <is>
          <t>INV00473</t>
        </is>
      </c>
      <c r="B474" t="inlineStr">
        <is>
          <t>OUT010</t>
        </is>
      </c>
      <c r="C474" t="inlineStr">
        <is>
          <t>BP023</t>
        </is>
      </c>
      <c r="D474" t="n">
        <v>96</v>
      </c>
      <c r="E474" t="n">
        <v>46</v>
      </c>
      <c r="F474" t="n">
        <v>93</v>
      </c>
      <c r="G474" t="n">
        <v>47</v>
      </c>
      <c r="H474" t="n">
        <v>2</v>
      </c>
      <c r="I474" t="n">
        <v>36</v>
      </c>
      <c r="J474" t="inlineStr">
        <is>
          <t>Healthy</t>
        </is>
      </c>
      <c r="K474" t="n">
        <v>2</v>
      </c>
    </row>
    <row r="475">
      <c r="A475" t="inlineStr">
        <is>
          <t>INV00474</t>
        </is>
      </c>
      <c r="B475" t="inlineStr">
        <is>
          <t>OUT010</t>
        </is>
      </c>
      <c r="C475" t="inlineStr">
        <is>
          <t>BP024</t>
        </is>
      </c>
      <c r="D475" t="n">
        <v>57</v>
      </c>
      <c r="E475" t="n">
        <v>90</v>
      </c>
      <c r="F475" t="n">
        <v>52</v>
      </c>
      <c r="G475" t="n">
        <v>94</v>
      </c>
      <c r="H475" t="n">
        <v>1</v>
      </c>
      <c r="I475" t="n">
        <v>24</v>
      </c>
      <c r="J475" t="inlineStr">
        <is>
          <t>Healthy</t>
        </is>
      </c>
      <c r="K475" t="n">
        <v>1</v>
      </c>
    </row>
    <row r="476">
      <c r="A476" t="inlineStr">
        <is>
          <t>INV00475</t>
        </is>
      </c>
      <c r="B476" t="inlineStr">
        <is>
          <t>OUT010</t>
        </is>
      </c>
      <c r="C476" t="inlineStr">
        <is>
          <t>BP025</t>
        </is>
      </c>
      <c r="D476" t="n">
        <v>62</v>
      </c>
      <c r="E476" t="n">
        <v>86</v>
      </c>
      <c r="F476" t="n">
        <v>60</v>
      </c>
      <c r="G476" t="n">
        <v>86</v>
      </c>
      <c r="H476" t="n">
        <v>2</v>
      </c>
      <c r="I476" t="n">
        <v>27</v>
      </c>
      <c r="J476" t="inlineStr">
        <is>
          <t>Healthy</t>
        </is>
      </c>
      <c r="K476" t="n">
        <v>1</v>
      </c>
    </row>
    <row r="477">
      <c r="A477" t="inlineStr">
        <is>
          <t>INV00476</t>
        </is>
      </c>
      <c r="B477" t="inlineStr">
        <is>
          <t>OUT010</t>
        </is>
      </c>
      <c r="C477" t="inlineStr">
        <is>
          <t>BP026</t>
        </is>
      </c>
      <c r="D477" t="n">
        <v>70</v>
      </c>
      <c r="E477" t="n">
        <v>70</v>
      </c>
      <c r="F477" t="n">
        <v>113</v>
      </c>
      <c r="G477" t="n">
        <v>26</v>
      </c>
      <c r="H477" t="n">
        <v>1</v>
      </c>
      <c r="I477" t="n">
        <v>16</v>
      </c>
      <c r="J477" t="inlineStr">
        <is>
          <t>Healthy</t>
        </is>
      </c>
      <c r="K477" t="n">
        <v>2</v>
      </c>
    </row>
    <row r="478">
      <c r="A478" t="inlineStr">
        <is>
          <t>INV00477</t>
        </is>
      </c>
      <c r="B478" t="inlineStr">
        <is>
          <t>OUT010</t>
        </is>
      </c>
      <c r="C478" t="inlineStr">
        <is>
          <t>BP027</t>
        </is>
      </c>
      <c r="D478" t="n">
        <v>49</v>
      </c>
      <c r="E478" t="n">
        <v>33</v>
      </c>
      <c r="F478" t="n">
        <v>140</v>
      </c>
      <c r="G478" t="n">
        <v>0</v>
      </c>
      <c r="H478" t="n">
        <v>2</v>
      </c>
      <c r="I478" t="n">
        <v>22</v>
      </c>
      <c r="J478" t="inlineStr">
        <is>
          <t>Reorder Required</t>
        </is>
      </c>
      <c r="K478" t="n">
        <v>3</v>
      </c>
      <c r="L478" t="inlineStr">
        <is>
          <t>Restock immediately</t>
        </is>
      </c>
    </row>
    <row r="479">
      <c r="A479" t="inlineStr">
        <is>
          <t>INV00478</t>
        </is>
      </c>
      <c r="B479" t="inlineStr">
        <is>
          <t>OUT010</t>
        </is>
      </c>
      <c r="C479" t="inlineStr">
        <is>
          <t>BP028</t>
        </is>
      </c>
      <c r="D479" t="n">
        <v>126</v>
      </c>
      <c r="E479" t="n">
        <v>67</v>
      </c>
      <c r="F479" t="n">
        <v>100</v>
      </c>
      <c r="G479" t="n">
        <v>91</v>
      </c>
      <c r="H479" t="n">
        <v>2</v>
      </c>
      <c r="I479" t="n">
        <v>38</v>
      </c>
      <c r="J479" t="inlineStr">
        <is>
          <t>Healthy</t>
        </is>
      </c>
      <c r="K479" t="n">
        <v>4</v>
      </c>
    </row>
    <row r="480">
      <c r="A480" t="inlineStr">
        <is>
          <t>INV00479</t>
        </is>
      </c>
      <c r="B480" t="inlineStr">
        <is>
          <t>OUT010</t>
        </is>
      </c>
      <c r="C480" t="inlineStr">
        <is>
          <t>BP029</t>
        </is>
      </c>
      <c r="D480" t="n">
        <v>146</v>
      </c>
      <c r="E480" t="n">
        <v>80</v>
      </c>
      <c r="F480" t="n">
        <v>73</v>
      </c>
      <c r="G480" t="n">
        <v>151</v>
      </c>
      <c r="H480" t="n">
        <v>2</v>
      </c>
      <c r="I480" t="n">
        <v>28</v>
      </c>
      <c r="J480" t="inlineStr">
        <is>
          <t>Healthy</t>
        </is>
      </c>
      <c r="K480" t="n">
        <v>2</v>
      </c>
    </row>
    <row r="481">
      <c r="A481" t="inlineStr">
        <is>
          <t>INV00480</t>
        </is>
      </c>
      <c r="B481" t="inlineStr">
        <is>
          <t>OUT010</t>
        </is>
      </c>
      <c r="C481" t="inlineStr">
        <is>
          <t>BP030</t>
        </is>
      </c>
      <c r="D481" t="n">
        <v>107</v>
      </c>
      <c r="E481" t="n">
        <v>97</v>
      </c>
      <c r="F481" t="n">
        <v>84</v>
      </c>
      <c r="G481" t="n">
        <v>114</v>
      </c>
      <c r="H481" t="n">
        <v>6</v>
      </c>
      <c r="I481" t="n">
        <v>29</v>
      </c>
      <c r="J481" t="inlineStr">
        <is>
          <t>Healthy</t>
        </is>
      </c>
      <c r="K481" t="n">
        <v>5</v>
      </c>
    </row>
    <row r="482">
      <c r="A482" t="inlineStr">
        <is>
          <t>INV00481</t>
        </is>
      </c>
      <c r="B482" t="inlineStr">
        <is>
          <t>OUT010</t>
        </is>
      </c>
      <c r="C482" t="inlineStr">
        <is>
          <t>BP031</t>
        </is>
      </c>
      <c r="D482" t="n">
        <v>134</v>
      </c>
      <c r="E482" t="n">
        <v>32</v>
      </c>
      <c r="F482" t="n">
        <v>38</v>
      </c>
      <c r="G482" t="n">
        <v>121</v>
      </c>
      <c r="H482" t="n">
        <v>7</v>
      </c>
      <c r="I482" t="n">
        <v>22</v>
      </c>
      <c r="J482" t="inlineStr">
        <is>
          <t>Healthy</t>
        </is>
      </c>
      <c r="K482" t="n">
        <v>5</v>
      </c>
    </row>
    <row r="483">
      <c r="A483" t="inlineStr">
        <is>
          <t>INV00482</t>
        </is>
      </c>
      <c r="B483" t="inlineStr">
        <is>
          <t>OUT010</t>
        </is>
      </c>
      <c r="C483" t="inlineStr">
        <is>
          <t>BP032</t>
        </is>
      </c>
      <c r="D483" t="n">
        <v>139</v>
      </c>
      <c r="E483" t="n">
        <v>47</v>
      </c>
      <c r="F483" t="n">
        <v>66</v>
      </c>
      <c r="G483" t="n">
        <v>118</v>
      </c>
      <c r="H483" t="n">
        <v>2</v>
      </c>
      <c r="I483" t="n">
        <v>37</v>
      </c>
      <c r="J483" t="inlineStr">
        <is>
          <t>Healthy</t>
        </is>
      </c>
      <c r="K483" t="n">
        <v>2</v>
      </c>
    </row>
    <row r="484">
      <c r="A484" t="inlineStr">
        <is>
          <t>INV00483</t>
        </is>
      </c>
      <c r="B484" t="inlineStr">
        <is>
          <t>OUT010</t>
        </is>
      </c>
      <c r="C484" t="inlineStr">
        <is>
          <t>BP033</t>
        </is>
      </c>
      <c r="D484" t="n">
        <v>136</v>
      </c>
      <c r="E484" t="n">
        <v>34</v>
      </c>
      <c r="F484" t="n">
        <v>111</v>
      </c>
      <c r="G484" t="n">
        <v>56</v>
      </c>
      <c r="H484" t="n">
        <v>3</v>
      </c>
      <c r="I484" t="n">
        <v>22</v>
      </c>
      <c r="J484" t="inlineStr">
        <is>
          <t>Healthy</t>
        </is>
      </c>
      <c r="K484" t="n">
        <v>4</v>
      </c>
    </row>
    <row r="485">
      <c r="A485" t="inlineStr">
        <is>
          <t>INV00484</t>
        </is>
      </c>
      <c r="B485" t="inlineStr">
        <is>
          <t>OUT010</t>
        </is>
      </c>
      <c r="C485" t="inlineStr">
        <is>
          <t>BP034</t>
        </is>
      </c>
      <c r="D485" t="n">
        <v>118</v>
      </c>
      <c r="E485" t="n">
        <v>55</v>
      </c>
      <c r="F485" t="n">
        <v>111</v>
      </c>
      <c r="G485" t="n">
        <v>59</v>
      </c>
      <c r="H485" t="n">
        <v>3</v>
      </c>
      <c r="I485" t="n">
        <v>34</v>
      </c>
      <c r="J485" t="inlineStr">
        <is>
          <t>Healthy</t>
        </is>
      </c>
      <c r="K485" t="n">
        <v>1</v>
      </c>
    </row>
    <row r="486">
      <c r="A486" t="inlineStr">
        <is>
          <t>INV00485</t>
        </is>
      </c>
      <c r="B486" t="inlineStr">
        <is>
          <t>OUT010</t>
        </is>
      </c>
      <c r="C486" t="inlineStr">
        <is>
          <t>BP035</t>
        </is>
      </c>
      <c r="D486" t="n">
        <v>118</v>
      </c>
      <c r="E486" t="n">
        <v>92</v>
      </c>
      <c r="F486" t="n">
        <v>81</v>
      </c>
      <c r="G486" t="n">
        <v>123</v>
      </c>
      <c r="H486" t="n">
        <v>6</v>
      </c>
      <c r="I486" t="n">
        <v>31</v>
      </c>
      <c r="J486" t="inlineStr">
        <is>
          <t>Healthy</t>
        </is>
      </c>
      <c r="K486" t="n">
        <v>3</v>
      </c>
    </row>
    <row r="487">
      <c r="A487" t="inlineStr">
        <is>
          <t>INV00486</t>
        </is>
      </c>
      <c r="B487" t="inlineStr">
        <is>
          <t>OUT010</t>
        </is>
      </c>
      <c r="C487" t="inlineStr">
        <is>
          <t>BP036</t>
        </is>
      </c>
      <c r="D487" t="n">
        <v>60</v>
      </c>
      <c r="E487" t="n">
        <v>25</v>
      </c>
      <c r="F487" t="n">
        <v>119</v>
      </c>
      <c r="G487" t="n">
        <v>0</v>
      </c>
      <c r="H487" t="n">
        <v>5</v>
      </c>
      <c r="I487" t="n">
        <v>21</v>
      </c>
      <c r="J487" t="inlineStr">
        <is>
          <t>Reorder Required</t>
        </is>
      </c>
      <c r="K487" t="n">
        <v>1</v>
      </c>
      <c r="L487" t="inlineStr">
        <is>
          <t>Restock immediately</t>
        </is>
      </c>
    </row>
    <row r="488">
      <c r="A488" t="inlineStr">
        <is>
          <t>INV00487</t>
        </is>
      </c>
      <c r="B488" t="inlineStr">
        <is>
          <t>OUT010</t>
        </is>
      </c>
      <c r="C488" t="inlineStr">
        <is>
          <t>BP037</t>
        </is>
      </c>
      <c r="D488" t="n">
        <v>118</v>
      </c>
      <c r="E488" t="n">
        <v>70</v>
      </c>
      <c r="F488" t="n">
        <v>130</v>
      </c>
      <c r="G488" t="n">
        <v>52</v>
      </c>
      <c r="H488" t="n">
        <v>6</v>
      </c>
      <c r="I488" t="n">
        <v>31</v>
      </c>
      <c r="J488" t="inlineStr">
        <is>
          <t>Healthy</t>
        </is>
      </c>
      <c r="K488" t="n">
        <v>3</v>
      </c>
    </row>
    <row r="489">
      <c r="A489" t="inlineStr">
        <is>
          <t>INV00488</t>
        </is>
      </c>
      <c r="B489" t="inlineStr">
        <is>
          <t>OUT010</t>
        </is>
      </c>
      <c r="C489" t="inlineStr">
        <is>
          <t>BP038</t>
        </is>
      </c>
      <c r="D489" t="n">
        <v>53</v>
      </c>
      <c r="E489" t="n">
        <v>55</v>
      </c>
      <c r="F489" t="n">
        <v>37</v>
      </c>
      <c r="G489" t="n">
        <v>66</v>
      </c>
      <c r="H489" t="n">
        <v>5</v>
      </c>
      <c r="I489" t="n">
        <v>39</v>
      </c>
      <c r="J489" t="inlineStr">
        <is>
          <t>Healthy</t>
        </is>
      </c>
      <c r="K489" t="n">
        <v>2</v>
      </c>
    </row>
    <row r="490">
      <c r="A490" t="inlineStr">
        <is>
          <t>INV00489</t>
        </is>
      </c>
      <c r="B490" t="inlineStr">
        <is>
          <t>OUT010</t>
        </is>
      </c>
      <c r="C490" t="inlineStr">
        <is>
          <t>BP039</t>
        </is>
      </c>
      <c r="D490" t="n">
        <v>88</v>
      </c>
      <c r="E490" t="n">
        <v>98</v>
      </c>
      <c r="F490" t="n">
        <v>67</v>
      </c>
      <c r="G490" t="n">
        <v>113</v>
      </c>
      <c r="H490" t="n">
        <v>6</v>
      </c>
      <c r="I490" t="n">
        <v>31</v>
      </c>
      <c r="J490" t="inlineStr">
        <is>
          <t>Healthy</t>
        </is>
      </c>
      <c r="K490" t="n">
        <v>1</v>
      </c>
    </row>
    <row r="491">
      <c r="A491" t="inlineStr">
        <is>
          <t>INV00490</t>
        </is>
      </c>
      <c r="B491" t="inlineStr">
        <is>
          <t>OUT010</t>
        </is>
      </c>
      <c r="C491" t="inlineStr">
        <is>
          <t>BP040</t>
        </is>
      </c>
      <c r="D491" t="n">
        <v>49</v>
      </c>
      <c r="E491" t="n">
        <v>53</v>
      </c>
      <c r="F491" t="n">
        <v>91</v>
      </c>
      <c r="G491" t="n">
        <v>8</v>
      </c>
      <c r="H491" t="n">
        <v>3</v>
      </c>
      <c r="I491" t="n">
        <v>33</v>
      </c>
      <c r="J491" t="inlineStr">
        <is>
          <t>Reorder Required</t>
        </is>
      </c>
      <c r="K491" t="n">
        <v>1</v>
      </c>
      <c r="L491" t="inlineStr">
        <is>
          <t>Restock immediately</t>
        </is>
      </c>
    </row>
    <row r="492">
      <c r="A492" t="inlineStr">
        <is>
          <t>INV00491</t>
        </is>
      </c>
      <c r="B492" t="inlineStr">
        <is>
          <t>OUT010</t>
        </is>
      </c>
      <c r="C492" t="inlineStr">
        <is>
          <t>BP041</t>
        </is>
      </c>
      <c r="D492" t="n">
        <v>60</v>
      </c>
      <c r="E492" t="n">
        <v>91</v>
      </c>
      <c r="F492" t="n">
        <v>70</v>
      </c>
      <c r="G492" t="n">
        <v>80</v>
      </c>
      <c r="H492" t="n">
        <v>1</v>
      </c>
      <c r="I492" t="n">
        <v>19</v>
      </c>
      <c r="J492" t="inlineStr">
        <is>
          <t>Healthy</t>
        </is>
      </c>
      <c r="K492" t="n">
        <v>3</v>
      </c>
    </row>
    <row r="493">
      <c r="A493" t="inlineStr">
        <is>
          <t>INV00492</t>
        </is>
      </c>
      <c r="B493" t="inlineStr">
        <is>
          <t>OUT010</t>
        </is>
      </c>
      <c r="C493" t="inlineStr">
        <is>
          <t>BP042</t>
        </is>
      </c>
      <c r="D493" t="n">
        <v>125</v>
      </c>
      <c r="E493" t="n">
        <v>85</v>
      </c>
      <c r="F493" t="n">
        <v>57</v>
      </c>
      <c r="G493" t="n">
        <v>150</v>
      </c>
      <c r="H493" t="n">
        <v>3</v>
      </c>
      <c r="I493" t="n">
        <v>22</v>
      </c>
      <c r="J493" t="inlineStr">
        <is>
          <t>Healthy</t>
        </is>
      </c>
      <c r="K493" t="n">
        <v>1</v>
      </c>
    </row>
    <row r="494">
      <c r="A494" t="inlineStr">
        <is>
          <t>INV00493</t>
        </is>
      </c>
      <c r="B494" t="inlineStr">
        <is>
          <t>OUT010</t>
        </is>
      </c>
      <c r="C494" t="inlineStr">
        <is>
          <t>BP043</t>
        </is>
      </c>
      <c r="D494" t="n">
        <v>79</v>
      </c>
      <c r="E494" t="n">
        <v>62</v>
      </c>
      <c r="F494" t="n">
        <v>113</v>
      </c>
      <c r="G494" t="n">
        <v>26</v>
      </c>
      <c r="H494" t="n">
        <v>2</v>
      </c>
      <c r="I494" t="n">
        <v>27</v>
      </c>
      <c r="J494" t="inlineStr">
        <is>
          <t>Reorder Required</t>
        </is>
      </c>
      <c r="K494" t="n">
        <v>1</v>
      </c>
      <c r="L494" t="inlineStr">
        <is>
          <t>Restock immediately</t>
        </is>
      </c>
    </row>
    <row r="495">
      <c r="A495" t="inlineStr">
        <is>
          <t>INV00494</t>
        </is>
      </c>
      <c r="B495" t="inlineStr">
        <is>
          <t>OUT010</t>
        </is>
      </c>
      <c r="C495" t="inlineStr">
        <is>
          <t>BP044</t>
        </is>
      </c>
      <c r="D495" t="n">
        <v>124</v>
      </c>
      <c r="E495" t="n">
        <v>35</v>
      </c>
      <c r="F495" t="n">
        <v>124</v>
      </c>
      <c r="G495" t="n">
        <v>32</v>
      </c>
      <c r="H495" t="n">
        <v>3</v>
      </c>
      <c r="I495" t="n">
        <v>21</v>
      </c>
      <c r="J495" t="inlineStr">
        <is>
          <t>Healthy</t>
        </is>
      </c>
      <c r="K495" t="n">
        <v>3</v>
      </c>
    </row>
    <row r="496">
      <c r="A496" t="inlineStr">
        <is>
          <t>INV00495</t>
        </is>
      </c>
      <c r="B496" t="inlineStr">
        <is>
          <t>OUT010</t>
        </is>
      </c>
      <c r="C496" t="inlineStr">
        <is>
          <t>BP045</t>
        </is>
      </c>
      <c r="D496" t="n">
        <v>105</v>
      </c>
      <c r="E496" t="n">
        <v>78</v>
      </c>
      <c r="F496" t="n">
        <v>44</v>
      </c>
      <c r="G496" t="n">
        <v>137</v>
      </c>
      <c r="H496" t="n">
        <v>2</v>
      </c>
      <c r="I496" t="n">
        <v>28</v>
      </c>
      <c r="J496" t="inlineStr">
        <is>
          <t>Healthy</t>
        </is>
      </c>
      <c r="K496" t="n">
        <v>4</v>
      </c>
    </row>
    <row r="497">
      <c r="A497" t="inlineStr">
        <is>
          <t>INV00496</t>
        </is>
      </c>
      <c r="B497" t="inlineStr">
        <is>
          <t>OUT010</t>
        </is>
      </c>
      <c r="C497" t="inlineStr">
        <is>
          <t>BP046</t>
        </is>
      </c>
      <c r="D497" t="n">
        <v>138</v>
      </c>
      <c r="E497" t="n">
        <v>85</v>
      </c>
      <c r="F497" t="n">
        <v>60</v>
      </c>
      <c r="G497" t="n">
        <v>160</v>
      </c>
      <c r="H497" t="n">
        <v>3</v>
      </c>
      <c r="I497" t="n">
        <v>22</v>
      </c>
      <c r="J497" t="inlineStr">
        <is>
          <t>Healthy</t>
        </is>
      </c>
      <c r="K497" t="n">
        <v>2</v>
      </c>
    </row>
    <row r="498">
      <c r="A498" t="inlineStr">
        <is>
          <t>INV00497</t>
        </is>
      </c>
      <c r="B498" t="inlineStr">
        <is>
          <t>OUT010</t>
        </is>
      </c>
      <c r="C498" t="inlineStr">
        <is>
          <t>BP047</t>
        </is>
      </c>
      <c r="D498" t="n">
        <v>87</v>
      </c>
      <c r="E498" t="n">
        <v>37</v>
      </c>
      <c r="F498" t="n">
        <v>72</v>
      </c>
      <c r="G498" t="n">
        <v>51</v>
      </c>
      <c r="H498" t="n">
        <v>1</v>
      </c>
      <c r="I498" t="n">
        <v>22</v>
      </c>
      <c r="J498" t="inlineStr">
        <is>
          <t>Healthy</t>
        </is>
      </c>
      <c r="K498" t="n">
        <v>4</v>
      </c>
    </row>
    <row r="499">
      <c r="A499" t="inlineStr">
        <is>
          <t>INV00498</t>
        </is>
      </c>
      <c r="B499" t="inlineStr">
        <is>
          <t>OUT010</t>
        </is>
      </c>
      <c r="C499" t="inlineStr">
        <is>
          <t>BP048</t>
        </is>
      </c>
      <c r="D499" t="n">
        <v>69</v>
      </c>
      <c r="E499" t="n">
        <v>26</v>
      </c>
      <c r="F499" t="n">
        <v>64</v>
      </c>
      <c r="G499" t="n">
        <v>31</v>
      </c>
      <c r="H499" t="n">
        <v>0</v>
      </c>
      <c r="I499" t="n">
        <v>31</v>
      </c>
      <c r="J499" t="inlineStr">
        <is>
          <t>Reorder Required</t>
        </is>
      </c>
      <c r="K499" t="n">
        <v>3</v>
      </c>
      <c r="L499" t="inlineStr">
        <is>
          <t>Restock immediately</t>
        </is>
      </c>
    </row>
    <row r="500">
      <c r="A500" t="inlineStr">
        <is>
          <t>INV00499</t>
        </is>
      </c>
      <c r="B500" t="inlineStr">
        <is>
          <t>OUT010</t>
        </is>
      </c>
      <c r="C500" t="inlineStr">
        <is>
          <t>BP049</t>
        </is>
      </c>
      <c r="D500" t="n">
        <v>66</v>
      </c>
      <c r="E500" t="n">
        <v>58</v>
      </c>
      <c r="F500" t="n">
        <v>101</v>
      </c>
      <c r="G500" t="n">
        <v>23</v>
      </c>
      <c r="H500" t="n">
        <v>0</v>
      </c>
      <c r="I500" t="n">
        <v>33</v>
      </c>
      <c r="J500" t="inlineStr">
        <is>
          <t>Reorder Required</t>
        </is>
      </c>
      <c r="K500" t="n">
        <v>3</v>
      </c>
      <c r="L500" t="inlineStr">
        <is>
          <t>Restock immediately</t>
        </is>
      </c>
    </row>
    <row r="501">
      <c r="A501" t="inlineStr">
        <is>
          <t>INV00500</t>
        </is>
      </c>
      <c r="B501" t="inlineStr">
        <is>
          <t>OUT010</t>
        </is>
      </c>
      <c r="C501" t="inlineStr">
        <is>
          <t>BP050</t>
        </is>
      </c>
      <c r="D501" t="n">
        <v>118</v>
      </c>
      <c r="E501" t="n">
        <v>38</v>
      </c>
      <c r="F501" t="n">
        <v>94</v>
      </c>
      <c r="G501" t="n">
        <v>61</v>
      </c>
      <c r="H501" t="n">
        <v>1</v>
      </c>
      <c r="I501" t="n">
        <v>34</v>
      </c>
      <c r="J501" t="inlineStr">
        <is>
          <t>Healthy</t>
        </is>
      </c>
      <c r="K5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2026-07-03T07:56:06Z</dcterms:created>
  <dcterms:modified xmlns:dcterms="http://purl.org/dc/terms/" xmlns:xsi="http://www.w3.org/2001/XMLSchema-instance" xsi:type="dcterms:W3CDTF">2026-10-07T13:25:35Z</dcterms:modified>
</cp:coreProperties>
</file>